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publishItems="1"/>
  <mc:AlternateContent xmlns:mc="http://schemas.openxmlformats.org/markup-compatibility/2006">
    <mc:Choice Requires="x15">
      <x15ac:absPath xmlns:x15ac="http://schemas.microsoft.com/office/spreadsheetml/2010/11/ac" url="C:\Users\PC\Desktop\Maven Analytics\Microsoft Excel Advanced Dashboard Design Project Based\Excel+Dashboard+Datasets\"/>
    </mc:Choice>
  </mc:AlternateContent>
  <xr:revisionPtr revIDLastSave="0" documentId="13_ncr:1_{2B3A4533-2437-4A9A-8DE1-02B3D1945A7F}" xr6:coauthVersionLast="47" xr6:coauthVersionMax="47" xr10:uidLastSave="{00000000-0000-0000-0000-000000000000}"/>
  <bookViews>
    <workbookView xWindow="-120" yWindow="-120" windowWidth="38640" windowHeight="21120" activeTab="2" xr2:uid="{DB438AB8-0F60-4224-9C67-97043B861F24}"/>
  </bookViews>
  <sheets>
    <sheet name="Data" sheetId="1" r:id="rId1"/>
    <sheet name="Data Prep" sheetId="2" r:id="rId2"/>
    <sheet name="Dashboard" sheetId="3" r:id="rId3"/>
  </sheets>
  <definedNames>
    <definedName name="_xlnm._FilterDatabase" localSheetId="0" hidden="1">Data!$A$1:$F$1919</definedName>
    <definedName name="_xlnm._FilterDatabase" localSheetId="1" hidden="1">'Data Prep'!$A$2:$A$12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ShowAllWorksheets" guid="{A1F01C08-243B-48FC-94A8-F102AEB1706D}" maximized="1" xWindow="-8" yWindow="-8" windowWidth="1936" windowHeight="1056" activeSheetId="8" showFormulaBar="0"/>
    <customWorkbookView name="Dashboard" guid="{948164EF-B902-4A6C-8E3C-A935061C5153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B3" i="2" s="1"/>
  <c r="F4" i="2" s="1"/>
  <c r="B18" i="2"/>
  <c r="D15" i="2"/>
  <c r="F7" i="2" l="1"/>
  <c r="F12" i="2"/>
  <c r="F10" i="2"/>
  <c r="F6" i="2"/>
  <c r="F5" i="2"/>
  <c r="F3" i="2"/>
  <c r="F11" i="2"/>
  <c r="F9" i="2"/>
  <c r="F8" i="2"/>
  <c r="T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3" i="2"/>
  <c r="P4" i="2"/>
  <c r="R4" i="2" s="1"/>
  <c r="P5" i="2"/>
  <c r="R5" i="2" s="1"/>
  <c r="P6" i="2"/>
  <c r="R6" i="2" s="1"/>
  <c r="P7" i="2"/>
  <c r="R7" i="2" s="1"/>
  <c r="P8" i="2"/>
  <c r="R8" i="2" s="1"/>
  <c r="P9" i="2"/>
  <c r="R9" i="2" s="1"/>
  <c r="P10" i="2"/>
  <c r="R10" i="2" s="1"/>
  <c r="P11" i="2"/>
  <c r="R11" i="2" s="1"/>
  <c r="P12" i="2"/>
  <c r="R12" i="2" s="1"/>
  <c r="P13" i="2"/>
  <c r="R13" i="2" s="1"/>
  <c r="P14" i="2"/>
  <c r="R14" i="2" s="1"/>
  <c r="P15" i="2"/>
  <c r="R15" i="2" s="1"/>
  <c r="P16" i="2"/>
  <c r="R16" i="2" s="1"/>
  <c r="P17" i="2"/>
  <c r="R17" i="2" s="1"/>
  <c r="P18" i="2"/>
  <c r="R18" i="2" s="1"/>
  <c r="P19" i="2"/>
  <c r="R19" i="2" s="1"/>
  <c r="P20" i="2"/>
  <c r="R20" i="2" s="1"/>
  <c r="P21" i="2"/>
  <c r="R21" i="2" s="1"/>
  <c r="P22" i="2"/>
  <c r="R22" i="2" s="1"/>
  <c r="P23" i="2"/>
  <c r="R23" i="2" s="1"/>
  <c r="P24" i="2"/>
  <c r="R24" i="2" s="1"/>
  <c r="P25" i="2"/>
  <c r="R25" i="2" s="1"/>
  <c r="P26" i="2"/>
  <c r="R26" i="2" s="1"/>
  <c r="P27" i="2"/>
  <c r="R27" i="2" s="1"/>
  <c r="P28" i="2"/>
  <c r="R28" i="2" s="1"/>
  <c r="P29" i="2"/>
  <c r="R29" i="2" s="1"/>
  <c r="P30" i="2"/>
  <c r="R30" i="2" s="1"/>
  <c r="P31" i="2"/>
  <c r="R31" i="2" s="1"/>
  <c r="P32" i="2"/>
  <c r="R32" i="2" s="1"/>
  <c r="P33" i="2"/>
  <c r="R33" i="2" s="1"/>
  <c r="P34" i="2"/>
  <c r="R34" i="2" s="1"/>
  <c r="P35" i="2"/>
  <c r="R35" i="2" s="1"/>
  <c r="P36" i="2"/>
  <c r="R36" i="2" s="1"/>
  <c r="P37" i="2"/>
  <c r="R37" i="2" s="1"/>
  <c r="P38" i="2"/>
  <c r="R38" i="2" s="1"/>
  <c r="P39" i="2"/>
  <c r="R39" i="2" s="1"/>
  <c r="P40" i="2"/>
  <c r="R40" i="2" s="1"/>
  <c r="P41" i="2"/>
  <c r="R41" i="2" s="1"/>
  <c r="P42" i="2"/>
  <c r="R42" i="2" s="1"/>
  <c r="P43" i="2"/>
  <c r="R43" i="2" s="1"/>
  <c r="P44" i="2"/>
  <c r="R44" i="2" s="1"/>
  <c r="P45" i="2"/>
  <c r="R45" i="2" s="1"/>
  <c r="P46" i="2"/>
  <c r="R46" i="2" s="1"/>
  <c r="P47" i="2"/>
  <c r="R47" i="2" s="1"/>
  <c r="P48" i="2"/>
  <c r="R48" i="2" s="1"/>
  <c r="P49" i="2"/>
  <c r="R49" i="2" s="1"/>
  <c r="P50" i="2"/>
  <c r="R50" i="2" s="1"/>
  <c r="P3" i="2"/>
  <c r="R3" i="2" s="1"/>
  <c r="M4" i="2"/>
  <c r="M5" i="2"/>
  <c r="M6" i="2"/>
  <c r="M3" i="2"/>
  <c r="L4" i="2"/>
  <c r="L5" i="2"/>
  <c r="L6" i="2"/>
  <c r="L3" i="2"/>
  <c r="H16" i="2"/>
  <c r="I9" i="2"/>
  <c r="I4" i="2"/>
  <c r="I16" i="2" s="1"/>
  <c r="I8" i="2"/>
  <c r="I11" i="2"/>
  <c r="I6" i="2"/>
  <c r="I7" i="2"/>
  <c r="I12" i="2"/>
  <c r="I10" i="2"/>
  <c r="I3" i="2"/>
  <c r="I5" i="2"/>
  <c r="E7" i="2"/>
  <c r="E9" i="2"/>
  <c r="E4" i="2"/>
  <c r="E3" i="2"/>
  <c r="E12" i="2"/>
  <c r="E6" i="2"/>
  <c r="E8" i="2"/>
  <c r="E11" i="2"/>
  <c r="E10" i="2"/>
  <c r="E5" i="2"/>
  <c r="T3" i="2" l="1"/>
  <c r="T13" i="2"/>
  <c r="T44" i="2"/>
  <c r="T49" i="2"/>
  <c r="T37" i="2"/>
  <c r="T48" i="2"/>
  <c r="T24" i="2"/>
  <c r="T47" i="2"/>
  <c r="T23" i="2"/>
  <c r="T46" i="2"/>
  <c r="T22" i="2"/>
  <c r="T33" i="2"/>
  <c r="T21" i="2"/>
  <c r="T32" i="2"/>
  <c r="T25" i="2"/>
  <c r="T36" i="2"/>
  <c r="T12" i="2"/>
  <c r="T35" i="2"/>
  <c r="T11" i="2"/>
  <c r="T34" i="2"/>
  <c r="T10" i="2"/>
  <c r="T45" i="2"/>
  <c r="T9" i="2"/>
  <c r="T20" i="2"/>
  <c r="T43" i="2"/>
  <c r="T31" i="2"/>
  <c r="T30" i="2"/>
  <c r="T16" i="2"/>
  <c r="T19" i="2"/>
  <c r="T42" i="2"/>
  <c r="T18" i="2"/>
  <c r="T41" i="2"/>
  <c r="T29" i="2"/>
  <c r="T17" i="2"/>
  <c r="T40" i="2"/>
  <c r="T28" i="2"/>
  <c r="T39" i="2"/>
  <c r="T27" i="2"/>
  <c r="T15" i="2"/>
  <c r="T8" i="2"/>
  <c r="T7" i="2"/>
  <c r="T6" i="2"/>
  <c r="T5" i="2"/>
  <c r="T4" i="2"/>
  <c r="T50" i="2"/>
  <c r="T38" i="2"/>
  <c r="T26" i="2"/>
  <c r="T14" i="2"/>
  <c r="I17" i="2"/>
  <c r="I19" i="2" s="1"/>
</calcChain>
</file>

<file path=xl/sharedStrings.xml><?xml version="1.0" encoding="utf-8"?>
<sst xmlns="http://schemas.openxmlformats.org/spreadsheetml/2006/main" count="3949" uniqueCount="81">
  <si>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</si>
  <si>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</si>
  <si>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</si>
  <si>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</si>
  <si>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</si>
  <si>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</si>
  <si>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</si>
  <si>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</si>
  <si>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</si>
  <si>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</si>
  <si>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</si>
  <si>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</si>
  <si>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</si>
  <si>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</si>
  <si>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</si>
  <si>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</si>
  <si>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</si>
  <si>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</si>
  <si>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</si>
  <si>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</si>
  <si>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</si>
  <si>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</si>
  <si>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</si>
  <si>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</si>
  <si>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</si>
  <si>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</si>
  <si>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</si>
  <si>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</si>
  <si>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</si>
  <si>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</si>
  <si>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</si>
  <si>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</si>
  <si>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</si>
  <si>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</si>
  <si>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</si>
  <si>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</si>
  <si>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</si>
  <si>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</si>
  <si>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</si>
  <si>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</si>
  <si>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</si>
  <si>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</si>
  <si>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</si>
  <si>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</si>
  <si>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</si>
  <si>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</si>
  <si>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</si>
  <si>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</si>
  <si>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</si>
  <si>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</si>
  <si>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</si>
  <si>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</si>
  <si>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</si>
  <si>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</si>
  <si>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</si>
  <si>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</si>
  <si>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</si>
  <si>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</si>
  <si>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</si>
  <si>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</si>
  <si>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</si>
  <si>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</si>
  <si>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</si>
  <si>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</si>
  <si>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</si>
  <si>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</si>
  <si>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</si>
  <si>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</si>
  <si>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 BY INDUSTRY</t>
  </si>
  <si>
    <t>EMPLOYEES BY INDUSTRY</t>
  </si>
  <si>
    <t>EMPLOYEES BY INDUSTRY (CLEAN)</t>
  </si>
  <si>
    <t>Others</t>
  </si>
  <si>
    <t>WAGE &amp; EMPLOYEE TRENDS</t>
  </si>
  <si>
    <t>Avg Wage</t>
  </si>
  <si>
    <t>COMPARISONS BY STATE</t>
  </si>
  <si>
    <t>Population</t>
  </si>
  <si>
    <t>Employees per 1000 Capita</t>
  </si>
  <si>
    <t>Average Wages</t>
  </si>
  <si>
    <t>MAP FILTER</t>
  </si>
  <si>
    <t>METRIC: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</si>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</sst>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[$$-409]#,##0"/>
    <numFmt numFmtId="166" formatCode="#,##0\ &quot;€&quot;"/>
    <numFmt numFmtId="167" formatCode="#,##0;\$#,##0"/>
    <numFmt numFmtId="168" formatCode=";;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charset val="161"/>
      <scheme val="minor"/>
    </font>
    <font>
      <sz val="8"/>
      <color rgb="FF000000"/>
      <name val="Segoe UI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3" borderId="0" xfId="0" applyFont="1" applyFill="1"/>
    <xf numFmtId="0" fontId="1" fillId="6" borderId="0" xfId="0" applyFont="1" applyFill="1"/>
    <xf numFmtId="0" fontId="4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3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6" fillId="7" borderId="0" xfId="0" applyFont="1" applyFill="1" applyAlignment="1">
      <alignment horizontal="center"/>
    </xf>
    <xf numFmtId="9" fontId="0" fillId="0" borderId="0" xfId="1" applyFont="1" applyAlignment="1">
      <alignment horizontal="left"/>
    </xf>
    <xf numFmtId="168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9999"/>
      <color rgb="FFB2DBD5"/>
      <color rgb="FFEE0000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2760656</c:v>
                </c:pt>
                <c:pt idx="1">
                  <c:v>2781425</c:v>
                </c:pt>
                <c:pt idx="2">
                  <c:v>2815141</c:v>
                </c:pt>
                <c:pt idx="3">
                  <c:v>2677815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0-4FF1-AC32-2281202B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80081936"/>
        <c:axId val="280083376"/>
      </c:barChart>
      <c:catAx>
        <c:axId val="2800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80083376"/>
        <c:crosses val="autoZero"/>
        <c:auto val="1"/>
        <c:lblAlgn val="ctr"/>
        <c:lblOffset val="100"/>
        <c:noMultiLvlLbl val="0"/>
      </c:catAx>
      <c:valAx>
        <c:axId val="280083376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80081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Wage</a:t>
            </a:r>
            <a:r>
              <a:rPr lang="en-US" b="1"/>
              <a:t> &amp;</a:t>
            </a:r>
            <a:r>
              <a:rPr lang="en-US" b="1" baseline="0"/>
              <a:t> </a:t>
            </a:r>
            <a:r>
              <a:rPr lang="en-US" b="1" baseline="0">
                <a:solidFill>
                  <a:schemeClr val="accent4"/>
                </a:solidFill>
              </a:rPr>
              <a:t>Employee</a:t>
            </a:r>
            <a:r>
              <a:rPr lang="en-US" b="1" baseline="0"/>
              <a:t> Trends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5"/>
                </a:solidFill>
              </a:ln>
              <a:effectLst/>
            </c:spPr>
          </c:marker>
          <c:dLbls>
            <c:numFmt formatCode="[$$-409]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[$$-409]#,##0</c:formatCode>
                <c:ptCount val="4"/>
                <c:pt idx="0">
                  <c:v>75580.708333333328</c:v>
                </c:pt>
                <c:pt idx="1">
                  <c:v>79569.104166666672</c:v>
                </c:pt>
                <c:pt idx="2">
                  <c:v>83493.333333333328</c:v>
                </c:pt>
                <c:pt idx="3">
                  <c:v>93586.333333333328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E-4938-85D7-E63DB865D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081936"/>
        <c:axId val="280083376"/>
      </c:lineChart>
      <c:catAx>
        <c:axId val="280081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0083376"/>
        <c:crosses val="autoZero"/>
        <c:auto val="1"/>
        <c:lblAlgn val="ctr"/>
        <c:lblOffset val="100"/>
        <c:noMultiLvlLbl val="0"/>
      </c:catAx>
      <c:valAx>
        <c:axId val="280083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Annual Wages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4428794992175271E-2"/>
              <c:y val="9.37209302325581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80081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872700234504586E-2"/>
          <c:y val="5.8737151248164463E-2"/>
          <c:w val="0.47124745000095325"/>
          <c:h val="0.85737972180790178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7D-49A4-9516-4713A708AB2F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7D-49A4-9516-4713A708AB2F}"/>
              </c:ext>
            </c:extLst>
          </c:dPt>
          <c:cat>
            <c:strRef>
              <c:f>'Data Prep'!$H$16:$H$17</c:f>
              <c:strCache>
                <c:ptCount val="2"/>
                <c:pt idx="0">
                  <c:v>Information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2677815</c:v>
                </c:pt>
                <c:pt idx="1">
                  <c:v>113971524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7D-49A4-9516-4713A708A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8-49F4-84F8-8E4F0AD6B50C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\$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8-49F4-84F8-8E4F0AD6B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572250384"/>
        <c:axId val="572250864"/>
      </c:barChart>
      <c:catAx>
        <c:axId val="5722503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2250864"/>
        <c:crosses val="autoZero"/>
        <c:auto val="1"/>
        <c:lblAlgn val="ctr"/>
        <c:lblOffset val="100"/>
        <c:noMultiLvlLbl val="0"/>
      </c:catAx>
      <c:valAx>
        <c:axId val="572250864"/>
        <c:scaling>
          <c:orientation val="minMax"/>
        </c:scaling>
        <c:delete val="0"/>
        <c:axPos val="t"/>
        <c:numFmt formatCode="\$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225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7BC615FD-57FC-4938-A8D4-D867D5865956}">
          <cx:tx>
            <cx:txData>
              <cx:f>_xlchart.v5.2</cx:f>
              <cx:v>Average Wages</cx:v>
            </cx:txData>
          </cx:tx>
          <cx:spPr>
            <a:solidFill>
              <a:schemeClr val="bg1"/>
            </a:solidFill>
          </cx:spPr>
          <cx:dataId val="0"/>
          <cx:layoutPr>
            <cx:geography cultureLanguage="en-US" cultureRegion="GR" attribution="Powered by Bing">
              <cx:geoCache provider="{E9337A44-BEBE-4D9F-B70C-5C5E7DAFC167}">
                <cx:binary>1H3Zcty4su2vOPx8qcZEEtyx+0Q0WaNGa/AgvzCqJZkzQRKcv/6s0mBL7LKtHVs37q2yozukKhST
WMjMlQtJ+N83/b9u0rtN9a7P0lz/66b/831Y18W//vhD34R32UYfZNFNpbT6Vh/cqOwP9e1bdHP3
x2216aI8+IMRKv64CTdVfde//59/49uCO3WsbjZ1pPLz5q4aLu50k9b6F+/tfOvdjWryejs8wDf9
+f5jHtV3t+8u6019p9+/u8vrqB6uhuLuz/cvPvn+3R/T7/vHtd+lMK9ubjGWOwcm4aYtuE3uX/z9
u1TlwePbhuMcECq5xR3h3L/E07VPNxnGv9qse6M2t7fVndbvHv//j+Ev7uQf70ZaeQ+T4qmt7R8v
72/2j5eT/j//nvwCtz/5zTNcpnP1u7dgehbls0jXVXRT0z/fn951765VlTxNywMkLz71H0Ii2IHD
HSY4Zzshsc0DC++YFn2ExHq69gMkr7FoNxo/Rr6wHzd5/f436/H/S2w8led3N3V009RPU/QG8NAD
0zapybn5AA996TE2O7C5ZJIy8+miD7i80prd0LwYPEHHu9pLdK7u+s0kkr24sf/QbTg9EBaXQlK6
ExdEMg6XcmybPUQy+RKe35qzG5jHYS8s//P91Ze9hOSvdPP3Jts8Tcx/7ywczmBZgjFmv/QSaR1I
QbYh7hEN5+miD87yCkt24/F94ASRv473EhFPpara3Kqn2XkDSOSB40jTJOIxvUziFyXmgSnsbc5/
uuhT/Pq9Kbsx+XETE1C8s70EZZ3fRpv8Ld3EOXCo4whpyp0pH96ChGI7zhMlmKSWVxi0G5nvAyfA
rE/3Epi/qmhUbwqMOGCYdEz+I9eahDFK6QHim+lYpnWPHJzpgZo/hrHfG7QbmO93MgHmr697CcxJ
dBNGwSZ/mp3/PowJcSBtYTu2hONsX0jnzwsXaYKGEQc+8/j+hCW/xqLd0PwYOcHmZL2X2BxhwTY3
yfB22HD7wGQ2k5b5g2pNsGHStm1O+UO4m4Sz11i0G5sfIyfYHO1nBfNXlWxy/aY0GX4DZyGcmjv9
xmEHgjvUNJ9S0QSb11i0G5sfIyfY/HWxl36zAB2Kbt+QBTB5YDqmScWjV5AJM5OARtpcMPn4gQlB
e4VBu5H5PnACzGI/OfNJhLJfq/oNoRHWARcOkIHnPOX55xHNEQfUASygCk9h9IEAvMqW3ag8GzrB
5WQ/2Zm3SaNvqsqjNwQGqYaZwrKQ5XcCQ6lzYFGb2VQ88oCX+LzOpt0APR87Qcj7ay9D2oe7PNdD
2m7eFCNBkHIA0aPrkGlcs+0DyaWEMkO+p6TnJPq1Vu1G6eXoCU4f9hOn2V266TbV3dNa/u/pNPYB
CJG2xfgjLYAe8zzAQXQWlrQEp2AP29eEFrzGot34/Bg5wWY230sfuoIPYY/j7i3BMSGWgUoT+ehC
SDLPwYE8wAVn2zj3PQg+d6BXmbQbnWdDJ/Bc7WcSWt6pKnjTDMQOLAG9H/Tg++S/AIcfCIHtNUF+
aDvPwXmFQbuh+T5wAsxyP2Pa+nYTvqHMCX2AS4fY7CnvT/QBSsWBZTrclmQSyn5ryG44HodNwFjP
9jKIrdM0ylX0htszIAEUWEBWflTSJglGOgdUSIub8kcCeu4mr7HoJ8B8v5cpNvtZ3qxV94YEGrvN
xBYWOgDEQ/hCUfk8fDkcDQKEWJQ8vj/R0X5nzU8wub+HKR77GbhO7/6uNjp5S0ywxYyKhdv2g6hM
JvkeW5mSIrRtdZz71ySCvcai3bj8GDnB5nQ/ydiJyus33akR9gF2LU3qIJ/fvybuQgnqTWFSZvFJ
p8wrTNmNyfeBE0hO9nPb/+itBU0JVUzAGVA+3r/oJIBJEAH0MKHL6aFywRbO88Tye3t2w/I0boLK
0eVeJvxt68/JXR/dvCEF4+JAMEQxKh7D2D98xTqgRHLUNcDsOSavs2Y3Ls/HTrA5PdlbbA7vKn33
hls0WzqGiXdM/li1TFKMDXZsSxPtjQ9O40yi2XaWf2/TzxF6GjtF6HAvETpWTaTfuCWAHDhI8sSy
nhCYhDUKUY1KbE0/imYTgF5l0m58ng2dwHO8nwzt80aHaNat1VvuP9sHglJ0zkpsMW9f084ARg5M
E8oAEQ8eNglxr7NpN0DPx04Q+ryfCJ2qqg7feZtKoe7cPCWDN5A10cvEUeSbaAXYhZKNqlOaXFrW
Y4qaVDevt2s3UtPxE7ROvb0MdyebKH9DeVOYkC+3XTTPGNrzEtRyDhhFtzPq1AcQJ6Hut+bsxuZx
2ASSkz0tdDbVkG7y2zd0HfQJogoFJi8Tj20d2ISiK+rpiQCwuufc7eQVlvwMkKd7mGIy21M30Xpz
Ezb6rq710yT99zENig2EfgjK6G/aVfDYaEkjeKiDy0mlc7J5pT0/g+fF8ClG+5l4TiKtt3+LIno7
hLZdzwy7ad+lzIkLQetEvyBDB+7jfs0k67zSqJ/A9PyOpiBd7qUjXYR43ufdWr9tgBPwEyaZYz7u
aE47COFHJsWO27a98/41CXSvtWo3TC9HT3C6WO8lTtt1q5rqLT0J4o1loxXtkUT/QwlFSxT6CG3K
HqukiRL6Got24/Nj5ASbk/3sWf8UYdvzTds6tl2elEkHAD34x2SHzZYH254PE5twO/3nNRbtxubH
yAk2n/YzCZ3etZu3bCREMwdH6QlC/aOh5jmhptRCAkLZYz82FNCn3PfQtPZ7e3bj8jRugsrpp72M
ZluJa7XJCmgHb9lpI/iBJfHwpvP0/CDSynNwtmkHGz8M4twDvZt0FL7arJ9h9OKuplCt9hKqz3e6
fvcjKjyUI/890+aIYIJB4kG5c/+aaDySoLeQ29BRH0XUCUN4tVm7oZoMn0D1eU+96l7pmW2St+3P
hRqHpz+xkcAfkJowbuCD/rXtkzw/1NTnReuDTvN7q3YD9XL0BKfT/Sxez8LoDbeCsN0g8EwBtk13
ZyS0tuMduJL4cQzBc3x+Z81uXB5GTfA4288Qd5ak6I9602dzoY1KDrd5fI592pbrgN9hd44Q+5G/
wadeYPIKi36Cy/eRU2yO9jL9nFV3wZvuLXCcACHRbsut3dHsfm8Bu0N4TneCyW8t+Qkij+OmeFzs
JR6Xqvm/s5sAXAh0T/Z0xMCEuoEPSAd9nngq9AG3ia7zert2ozQdP0Hr0ttjtH6fe/+zg23Q/yk4
Ng3ApR+wmHC3LSNgnKBr15psJzzM8u/t+RVGT6OnCO0nF/hYb8KnOPMGrBrVKeRrlDiPiWfSenD/
TLWNnW1mTfznd3bsRuRh1ASJj1d76Suf7qoMLW1vBwbchNgmw59JLMMxNpbFLMdCf879a6KsvcKS
3XB8HzhB5NN+IvI50jcq19Fbthag9waTbnLrkSxPihlsH9g4yMZE9/qDQjAtO19j0m5wnt3NBJ7P
6710mM+DwnldwRs6DE7nchx4xk+en0ZfLvo+KMQ38oje07UftLVXGPQTaJ7uZArM9f8bYH5+ptr3
8+Zmm3ozvz+o7tmxar9+9/7ecYTeZOhj4bEz+TzUJOvbP98zTinS/PcD8LZf8qJk+WfX2rNhdxtd
//nesLckj0HTxkM72PxG78j7dx30pe1bqJjwG4nNPRsP0G8P+Mq3csaf77GXBLJhI2uZDsOGhBDv
3+ktC8UJe9hHx9fhwDYHO36UUOv7OYEfVDqgcPg+I48/v8ub7IOK8lpjNMcNFQ+f29pqCgd7u9gR
wePGktl4oILg/ZvNBRY5Pk7/DyurPOONWa2c1oi4l1e8nuMqVXIU+q151JOqbC8DU/uHikRhs25x
ofOwMNpsmcR0SLyqatPMDRMn8my/4a7fVLHLij7wgsAX0bnTarK0k5y7gVPG3tgb3WmQ0JDP6OD7
Vz3LzS9W3m5SOngBvuqqLX3zsk7UeK4r50oVQeyleZEIV1mpr12T2tqteDyeNJ0wc1fGkl5oS3G3
LmryxUlobLmGEbGLPO+SQ1219VxlMvKsAgM7yzbmYHn9adYrPaMGpRf+yIx5pg3nm2aVIm6heN+5
bTZW66CNs8oVfVJseEvr+dhpxxuFjt37iUrGUs4qO/wb+EeeYWiM7mhbrc2kGuVyKwQqL86a9ZjE
wrN5g4Ha7DSbsbwYYtfKnMz53MZjGXh5KskXO6vHE6toHQ9nYYyrjPTjqu50tW6NBlensuvcPDaG
hY5qx+sixRs3rJ3KdEUUscTtNB9XVSybbMaKwLhuGm5eyjrOMtdqOD2upHbIsjNp+mlIUlvO2qCh
X6pMGpGb9ATflmZhfyaL1Pg2hp3j9bz0D5OwD2+NVPenhSnl8t4+vbUKK7sa3Bj/XbO0Bhh5Nrae
bdl5tyBVky+bZmg9JYtxESlMspZDPc/Htgldu47YcSBpY4VuUydJd2wxPwxXfkqTcWXhwES+CE07
iZZ85Eq5sT8abm6o5HAUat1WomZuHbfNoo4C9qUwiLQWtBgkWWKpjKumzrAWZJEcxo3WM1w98hyt
zWgubNO8VNmYfqoMnl6GRTV8KYtQH8ucO1fx2MpFyFllzcqs5Ie52QRHfinCz/FQcDd1BvPIKAC2
tOLEcpPajLxW4Sbj0TTm5sh0vjSJI9zELOvOtZzacvu4GK/HvBuWUmhnmaaMf+ss3hWeX2WZcikf
+3AWsDhKFk5M6vA0SRW+y2nSYmEpi3XME7wFwm5bKTue10GiL/zMGU6isUs8rpJoNtbEP8msLOq9
NujkktYOXVRpyD+ljUyWmewN5SZW6KSzvo4yuUwo0Ze1El/MOm2OM5N8zmU/xN7Qll3oxs1ojPM2
SU+ywB9rT1PLWkRy9D30zhdeQ5L8MPDxmKkbNbI6G8dUfdDWmJ1rg1uLbhiyD2Yk6GET5I5LWRnM
M9sSq9G26jlzxHgYijJJ3YR13OtSk3/sqUVcMxtk7/qVBUftu8YVOoFjsDzCour8ZJHXbT9nqhap
S/x49JpOG8uy4Pqk4U581kueHOVGZ36ozYDN27Ct8UFbk8YNstSPXWk44jh1yqiZdT2xv7SjEZ34
lAY3QxXHyAxqXQ2AfiycZJZDT+ncmKowdoeYW7lHMGYzlg6c3oirPl8FKisvS4cU8bxraThvwpZH
rpHk48feHMh8jMvwtOVFdTiSQn0yLHNYstImbM4HQ9VuFRTEmOfDSAu3TWsxY2Gu57zJTQpXNjvq
NmlHZq1lDUedX6jzsB/1Zwf3z9fCH/t4XWTK1jNrDKrDxo9DzxisZnSTTia1m+VmhPsvm8YbQ1tR
z86LyqtSFl5ZdkBGr0+rxGNVFh+1dZwMXltFoUtiZkUutwrtVU7bL0MS5F43ZBs1knJeRQNbK7+0
T9XQGFdJkiL4NywcF07XxxyXSOvCG+VYfahkkhzaeStnqkMwZ1aLqKStxr++jyxlUvvfnD5LDlMF
D2V0pOTBiwo81nfZj4hRVZfJmWUQhNWWqRZRY0CGqZSVL/sA4bnIUybgDh27oOb2QnVY9bOcaViS
tsl40pGuLdywM5z8FNl+ONVVooaZUmM9100+nlSSmlARwQEeCcqLJHujiqGKgvDxPN7vP/7Plcrw
937Mj19uj/P98RPOfXo4B/iXn8JTuVuip6cf2lrz/bt+HEm7pSjfTZ2QnoeTg3/CiH755ivpEsFx
Mr+iS9NWvnuy9DDoiSyZBwQNGOhS3z4eiI0wVOxPZMk52HIVjjqFbHfQfpAlbE/b6FvHiQ/QnrdH
QKJ+eSJLOAoCR9xQe/tAor1lWf8JWcLFJ1SJWHhCDh3yoOIMG+IvqVJOmrjKQmQnO6Dm6PqtyI+D
Phg+ZrRvwXZME4radza5g51tv/AlNyNoRkHPA4PlEgcmvLxgnTphbYzWsOr7uDonRtt6ltVFy19f
BeXf9Co4LIOBZGKTn6KHbHIVU5O2NMN+NdRltOxYX54nqmq9yBbFnBhd6lJddTNRxsaF7uz+468v
bzpoD5gYgNjOcN4NnnsHxg4EnOcUFBxBRu1g1yuVWmm/6DtEk9QOyaoVpjzuWVgd9nFf6eXg2xl1
C5+DBlZFZESexmNal0qaNHCVL4cT3YVR4QYUCUIiNS4GluCzqRqyzOOpMbZuX8RW7pq+HkyvlsPw
rayH5ILHMpmNvRxXoTBbz7et8jCzzPKLH5XD0m8z8KMioEPmqpKXpWsxe1yRsqdXFmfFadUl9Ir1
bf+h5o1/2Fm62Mgsi4inVTt8CzXuqM3TFrk4H5Y67vNjnxqpV/mRpF6nWH4c+kR9DaOhuKYBwcCu
j5xjXfZsjszrXzgtqOGs1QVRa0xVnnkBnoWiHlKw4EsWtLhNZDo2t8eIXQ1qkDO7V+GZWY75sRJO
lbppwFK3sKPqXKUtD9zW7movrm3paiscT0beRyufZN2M+1F1mDSsPNdZ7R+Ojd0vrZKm67IeYQ6v
208xydpPZTxal0CHzUeNlJYzM/Uaqy9vBtXBH2yKNdTlw8ew9tV1Q0YgUxY5WVkdqK3dVf4hr3Pn
2KJGtCrLcPjWNcXwkVQYMpBKf7aUlMd+H4h1GdT0qkmR++K6y497pZzjLJOYEScuReyKrDO2DHck
LhJSMdeFn3pd3rK5KllyUYD2uA0NLC9mqroRPn5ECUK5F8RsDFZGL7Wbi6a86TXcWRr1sLSiJl0r
CXAHu+hmfROn4UzzvMrnxNLputBSuvVoJjNbGP3SoH5yEXQ0WVgyLE/RfG56qRO0dwkZiJvXdbLI
UkIQNKj6GvVl+8l31HjilC2+iofDssh86dIed+x0RnHqJ1tnN0rzzAhI6wkH92KJ2HFrJ8y8Nkmw
FNswb+9oEg3LIWLiLBBAwm8d6QoUF7PM4CKbpUWDeU2CYmOnjun1nR/Hs7o3cCi5Cn3/wiJ+eYOe
q/Ek78LhI+uyaJkrOENalckCTKa+JbFFryIRdbMwSMcFNTC3OgCOMfjp/H6Jpnnf3g0V7n5MBha4
5QgkhKWGpaBY/1XSFtdpYPuHqU6uO0M3h2iSyc4C+Y00DmndyMhQBmg/Y+tQm18JG8ovzPebTwHD
2nSZgTKAESVnQqRfhW+3d7Wwi9MiNrEoe9Z6fQigUNrVC3D14qzIuDhz6s48awafXuWRLq4b01Jf
jVpgtdrJuKiYr77yzByOYm6AbshBFq4RS8eTeac2gbR17kWgaa5TgQze35wM4QRaaeOiH4q8nvUR
qtBODvpzoY3kYlA1lW4bYH5oTf3DPo0zz+pItKoVns/2er+PlmYfVTdFahHAlCWN7Q2hLL/QKHGO
YzLYfI4zdcrT2mKBZJ9l4tDEum5V3tU3UdWI64jmWRKsWj7mYhXVo5HPoep1zclQdr552AW8ERc8
GQa3FP3wkaLg8pTVhLlLzb6aleVoLbAOTeLWjDm5q/oaoanJTxvloKDCCjsURvKhJto4VyS9MMzm
VGRFtpChbZ6PFWo8FM/8tDKDS9/0TzOj5DNiw4kCNobrjCUftSnovEn9Zt6I4e9IZs1ctM1tErJs
beSg2o0I1+FoBW5Om+JYZW03T82297Qf1Lc00uU8iPRRX5f+Iu0qetiPiQOxoLK91DaDWVAE0akY
xXBiOEU7eNXoH1qxPDSSopxFaZmPbuH45RoHFqczZvTCK0lgulmUtMrN0vRbUIy1dLmZ28tGi8Fz
RH4x5HY0Z5nhHMVhUJxoK+4WVgiHLeOMHkWD388bRwbrcQCQjLZkTXKjXWW2Gryi5nKuOoN5BZdw
y5zGYM124TEjI0edGTmrJqCXPPOdhSVsfUxzh6eoY/r6RhddZ3lm6Rijm43A0A3Sul2xIrIXFu2+
5sqvjhvNUpRBpFkHnUNn4AVWghRmlbPB1zdcdc0yMAPkPCRwuWhDpLmQ9fU8zq3yAq191KV1ohcB
6u4eSo0Ru47sv0qzjd2OJ/1R3getK9MkuXYMX9me1VvD0onaqEMtX8gZep5Dz24Fh6DGy3OwM7kQ
jcntdYH4SmYDgkjolknBtFvAr05EqoujbvTHucKJ3WvWF3rGwxBepedBkJRurrACh5qah4VV9R/H
jsdeFWetJ3W+6tIZbw11SCtr3BQpMddsyMarIi5U4FHtrPrRdNZZ4w8fooSPs9ZvysMkK4RnsTTD
ck9aN+2CZK4FF+e2FgnIwUBRBKKecEkhFyXkq7nhpKPbmXyYCYfHX2wriFxJhm4h/KF1G+hhizJM
ldsE2XlKDeTyiHTrKOI9d0XbzgIjcD6lMqDLFJXu3OIqXMu29+dO54sT5SgBTaUzLrK6l6e0HIfD
QUIrc9EfHop5aVXZnQjK09Af7WOnr5nlia6rAjfF7sosE2FyUuiRrosws0svCq3qKB19ft3E9iBc
2+xsyGxdqo/CIUikF9OY3BVZlqUzYedWPyMxaddjWTpekRnVsqGped2lTQSpIIniY1EH+ibjsUVO
qBbtGLg0p4F57bSErLow0ZFLoDXGrtHnycIOzfZvhVrYq9NuywuK8rzv63RmlW2u5rLNoiOjT9PE
9Qc7trH8snBd8bY6dkqthFf1Wqdup8xo1efS114cKfNsYH60GsO8+JsV0kC9WQzJFhvi3lOkOObI
QykdV7Gp82OH+SaCc1HfysiHeIKqTyULkmgknAJR+FuepnJWDIZ/UST21gcS0ATbJ4U/C8wGhCiM
Mq8MC/NsjCLjwlBFgduNeLhokiiRs4BI08tA8sKZsPri775oxmIemgCJjsjOQwNW+EC+yojRK8if
+raI7VjOmBni/mjmp77bDwObg4Zal31SgpZtCWM+Z61IZnHI0jW3rfw4rcZxJYjuZpnqEIyrOIjd
rGClPwtNjeTuZMq4yAOn+RQxHpwFGZhGblrFaTDeW+GUX7hhgZb6ZbkNymM2fKtjcJLIsUFPnLKk
HxAG81teWKqdGYHVImu3CJUBApGbVTBn0MWwDKnRfAojAuxoaUioHFk1LIMMkgNpY9x/03azIEAu
VyBb14UOMk8PW/rrWOrarvt0zTRugQeCXsmsH77JoYiW/eireR5HUH+iTg/uYPqEuarg6TphTnn+
6yKC7qohqIWDGbETjNP/6KSGqJiTqCAw6lVgsPLQd7YKka3t3CvjsjpPt4xm5NBtWgDzVQ+VnOVd
jsluavN3BQ3dlmUvy7YHS6D1bw9dcbZ15DNJvVFcZUVc1isRgfl71tiYZ9C92DyoO/9wECCEoYOZ
rQPSf7ChIc1jbfLVWKuvgZ9jYea8PNS8HY7yrii/NI0QZ23E+o8dGPfiNxOH4vgfxqLNkXF0ETvo
D5oYi57uxG4NrldQ/6Gy6Ny6HAo4GqFxeGY0WHVIRVhgtMWKT2otZwR56jDJe7WJC/BmW4AE/dqo
+5Lz5QziSWgmcLqT3J4kNC18g6bEGokCvcoyXnIPB9n7My2b8njsjHZZVU04Q2ge5wPnSDx+AwYV
Fyhe7XDrpqJNLuJOlIc8taAE+6a6LaLUPpdWUMyduhxXvlGp0i1r05j92nJzx0LEZqqEeEHuH2Ug
k5rdbAxepENXrfoSOW2wI2iDJaTahRp6RKco72ZOyO1vLRvaVSR5sDAo28i4+NzlAZ9HJuiSYXbB
rIG0d9JWTFy3RZFD6YW2SUjGvzIBPf6kCIq8ParCUK59iyYzIiKI7D0cOkMoWQVOZJ4RGhbzqs/A
V9PMOQaBHBd5z4cjEYLNV2XTzdQ2wjDRGBdtUFmXhmkP3zIZENNluRCGyzVirCUs8N5OpeumQQAL
fQXOjmIZdUmQ4EMjNPUcYmaGSHzP1ft8LM/ztNzGFGdL2xMQeicztStIZF0KnhRz1vvFaYIDIo/j
pgQHpZAcAki2n4LRCEIXD5OmXyveJNZhnY52e1z6XYBJiqIAKUnX/dwMkpB4TcH91FhxHje8wq5J
bWjIqKLJ2SflC+rqkhfJ2rbGNFgnoDQzf9z+wgeh92dES2p5fmRR2bomGPeRQ4S+tVPeF8jG4PQV
CeN85vsh7hhStpr3CMKhm/ag8nZPiWsMIPkop8kK1TdCLCT+zyRGqclyanraNFTlZU4xnvQVCjcZ
iuLvIW6SRRXV0bJpwa5I0mFFjjUKijC3mk91lH61K9SPY0+La9mlPJpVQ9SiqMTcOdB2o8NxxOQj
6RgXVcz4miJxnCe8jZZ+EiLoSWj669qUatNDZ96IgYIbspQxF26bLHgtqw+oROXxUJLUbToU/Rb+
ObPPeYZapu8pX5Me0ajeyg85tgy8MKvbzhNj2rfukHbNgo5Btq50jKolt7kL7mSfZ7xqPhHasDnL
mdqYuoqWRKDCKiiq51mVj8gAtaL6M4shKJVlWpzWdmTDgwWiSe3ncsZljcrIF6K2PWWO8BGo9zl1
e4o3azKW6J7oMSvYv3E1qkMXuwzjKg+RE8uihCrHOqSc3tmm0DBDuDQH7PqlGSu/dIMtj2kHmUUX
oXMcUMjy0WDnx1aAiauQQJc5YSa2q/L2E85nRHnfDdFSbhUgR6LczBLoQ3aEMll2+fhNwkvHOfZE
iuvEyj60vV38XTc1ym1iBmc0F9rNutDyKJ4J8HJjS5y3VvfCgYglI4WFodItBrxL13Trqv02vhPs
hc0KiCVfzbJvFj3kecuNScfmTRtBGdkWr1FPUMCHvSjPSV4BGRWDitzn4iIPcn+r9QxHCZpCwy3p
ha7DsaUCYRV3l9rD0RhYw0nfQl27X4ashwSD5V2SVd8Yw4kIoHhwPZTn94pPzrF8ss5OPYtCOSkz
VMFpTqNVKkCoUnSeHje+ZXr38oARGJgGUaKyheCIqd8KeWMkh0VSQBDqwvBbJcfhZIS75V4/BCAj
XQ8tTAZQr0jRJxdlIfrMBQF2UKeAkjXK7j+UTQtxLq8BcdCRdN2PuCNiOQwizggXVE4HCc63Qsh/
CTG9ojHU3ImxBHMId938fmcy6DPzjCWWeQnCQyoIX63+XMcVFMFRJOWXkQsIZWbdlTdBDMVFk3r4
mBtwc59V6drYiivcFAhrqOj9w3ulxpDI5xJUo/LyMcI3ZQxiTzkixHGKy9/rN/dJsk+g3eYqFGuD
GHeEjFu6bBuAL81AlkpNksXD0owgXRYC0lCuqH9BaJofF4ols9IU8ljWuvyiKDQ0qgNoas1WTuwy
Hp61ApWWF5Aawd1g+laljvraByA7FSmd485GnFVdiCkMzbK6ITkHIEnS0LlG+TTXFuh5HcOnt+u5
rLZhWPtKH6U6hSLpRDY4b1JhOJLocBRxEL5wq3qDl2yzAAq0r1RiSYix0bdN6atNSP3gzG6w/0ur
7fpJBAoARCI3tXA7/lb9uqe30oFCGiR5cpF1LVQkgTRp4THNq/vcQLGtc9jIIDyzEfKhO0FEbQ1T
nNmBYSJVdI48Lh3QkHJI2FVXYTvWyQT0MwUmLFAOe6EV0yvsK2lsVwJIHM2eroeU5McjNtuOTQYS
m20xCEEPr7Xuqv9l79u249SxtV9lv4D24CQBt1AHl8+H2El8oxE7WQgQCAmBEE//f8Tp7mX3v5PR
991j9aplu6oAIU3N+R0mw8GsCsm5CxHNkmp+8g5p8tACnwuUjD6RrkewRRz7osZs+CogTTgHfsHK
n5DgbAFaZtHAz6teuF2zIP0cEU2GEmVOe6iyBTNEgdufLIqdDgv7aOMYKKiSWBQ+mNWzjAgAagfM
OK45SgWLxDlm2u0igMt7bPaYPD/D7JJiNIAc+Qujkuozqno/FD7qtnpiXIBCmXi5NQBtHocUWTtZ
HSCLeZwxmAHCm5ixjto8xq7F5gE1Xoy5RgJ+vzjgZZFcuvrUJ1Sfu0ECRNxCZYx+DnvTxu3NmkFz
IFlNgXoREJc6x/4gAJlgTYJZK3ub+qs0D8NPsU6nH2nPl6PFqRc9Ery4rHMUIYNUw8vYGaQcelzl
qemxyOqhFjdR2j/PM8WorSmJT1EmsFTmFmNgZYBqaHb6C7KSJimmxXNsyoHKkbdMtL52JECQdRrp
hFIcGaSf/W6ecMN9BlqwjQCp//zx58L0XYMthoSTeaUOe+qATeXUr3a5XSJoLTrR1EdwmFjQNbLK
KqUIMjPFzE6GdKXFSuv1amArKjKX+sMytn9NyarYXowoYH8Cxek4PCcRKlO3ZQF+0SjJhmidjgAS
cMXulMrGnU1Z8nU1lQCZj2TWAlDZTzTFwVo1ZeeWW1X8TFf/S1X+QdkV5gn4w39Scf8m7Prn45L+
JQZ7+8gvnnJrywiGkuIhDmAXsY+hqvrFU26NgPF4J7TMQHhCx2CGSvSXqgsO52D7VJaB1Nv+gnP4
B1EJwRcoTDxgCLUrGLLsP+EpAdS+L+oCPJAN57VJugKcD4Tr7yvQTqfjuLTMXYb1IBfNisxZPK+2
gJFUBRdqmLOoKxudWszANupkF3y2KMbCfdsP3fgp6hK7mgLdd0HrSNOYwTXA/3o9ZA/Y4YaR2XJq
+jqcysEtSX9IYgdGqu9zf9YQ54goexpF3Xwyk+zGeSxWO/V2uOqlRzY9zzXqRohzEHl5s5wr0gFP
bWrkJD6BJKyJ9XDeE/YFeqr56NScVpBe5IAhm+Gy6cYaJc4yhQWliPaC1SuAejE5IPUdmI4CIFu+
dwBdHEiMtVIFk2y5X9uZfguATrZgY8b5qg4EN/tIWMhMzDzV2NSQxMsjmAx5XGYDKInmqj6xroLY
Ic/t3AD2COqjJgRyJDZ4e7QgNqaCSGQvokvas4Ebd2hWk65FSnp8cZ80fCm7mc83EeX9V2wB4b1j
4G2OyjbI98dxropq8BHQ78qvBfZhs2uonr9Yk/gnvqqUlabSw3JaFHYNaGMoLjThwRR94bLRl5uW
6zhGzOyTsJ33KHE1ip7QXDqlwgHkVOpAWMUIInXr6InxMX3KG79cRtbl47FuEm0PYjSoA2ZM9R2J
Jx/cadbuUUr13TG2kmMjpctazCALi3psGlLSuZvTAg3+jdoFU0KLgc0dti8udsCSp+wQOef2zjaq
7KporkDEWqhwoHcZKCBc6f5KeR18W0HcHlqKp54dWpCO+6BP/LcObpjokJuOHie1DA9hb8RFy6z8
okBFFTyYQ1cOpLJnchZVsItMetN13uymSPC9EQpw6SBkiEkTLuEMwFnqg5+rZS9Sk98sVA9Hzc1U
TjqpzkXOl7RQcdc+MBnToaBikt+DhqiT5U10sl3a7SAv4M9YDWaG+i7MX3g3h3XhRzu3x8rq6BOX
9XRypksPkZxR0OQ9Hx+yZH4NHDCG2WfrjmcGNQlWQH1S6RBjF6gW6PwqloWXHZMJVHY0+woTV3Sc
R8F4QYH+hjs6o6gewUzEu5HrT0g+zbXOgvVF2g7wla7801QPHQpIjiVISJA3xUDWeD8PZLzxaumv
NW0ah4y1aeoimmte0hFoZ4gy/pFV2habOubUA2/5bLXsliKzXN63yRCVI7LY42y7o1UZ5mHKk6mg
SRvcUaGn0tslzg+qTyKHyMJDfjEMWVNM1A43ZiM7RhbIH33Y+pPO8TDmBZlBMS8+L3puX5ugTnax
d66kWZ2cNTLPS5VE3xbnP1NpUDK1Vb7sQHymBplvTHEfXTEAv53YLXRfvMJhW8omb/67K77tY3/Y
FSM8FAIb2f+9LX40jf4U8Lx96NfGiAcX4ZkeISwg2H42vTMkLf/YGIMY2x9D+xWoQiM0Z8ef/r4x
osMxZDrvNkW0Nvj55DCGM9s+9x/tilDNv98VsWnHaQ7rfYgzCAEsfYDmzNxm/cJCfZ5YsuziRB4s
FIKHuLMZJnQv1InmFekLC7kG3beGTQTaBdp8lzAfqbFYiBmw13RdXvMjAdBnPk1ey4sMYFtza1lv
nqGgS7/SlfXnIqzkhXVNtMtJC+I1qOvuHJgX0LQ2n3fYTvpLYJZEfe3FAKDPo0g6dj48Vg71SrWK
aDiAGTX5V1T9cXaWBaIqDOou9mV2y5TdenQa2KWqFpcQNdhkH7O578u8GrL622yJ+IJCZ+zOlFFt
dRhGAGmXlgbCAnDEfp9sEs4adGDnAEK6aymAwqaHTMt1uIYeD5crlhGUK6qLJuFndmSxWfad0gHp
oIpNaCYLHfEcXBVY7I5fZ9HKJ1dwifHURe27yemSQ1rgdtM8gzVFwAmDVwfKyq37VtQUpEHbjxSZ
Rt8o3pbdZFbiIePoYyiJM7Cn5WLzhMtCZKtOEAubIVnLls1VP2BXHCKRttB/T2ptvq/c+5G2pe0q
TyFrVjVIsiiZq2PULtxcQz5DToHrzW3QZLxYcxIXbk5M0YyiPwkCXLmiQ/TQEjZB/jgG2O/C3t2F
0tEDywf/LR2adg8GTZa+9QKS4lEf5qxrLw2g86Mak+6klEVC1c8IqrpXrJCznDZOsEwnAQFI16td
zER1Q0G9l7OQy44BQd0llsZFwyp1Nq45vzOd6z6DCLBI/LnMipXMw41s2GOruuourvR468Sc3smh
nb8KKHt3VQ65gRnEcof5oLDZqfoJcm1+KyPlP7eQ60elm6ZN2BTxnQvrLaNp+ZMYlvhsEYzcEIgT
bDEakh/m1MSXnHF5JA2p112I+OufBp3RIuWSPWoW9g+jX9qw6LiolpI2Ol7KujPpUiq/rqfewIsH
kGDs9hPyvpNbVnN0sq2eYmjrL/J1q2nCgbpP8FOCG8oGw5vd1Br5V+iANRcxyqqlgNeh37eRWgsP
PeAtsoT0ZBz9hMR1NzZTAho2XtLL0A9VVTQoK3ukR9N8M1VVdBEuizpLknyCStzjXk9yNHdCsv7J
jEt/nDnQOheJz6EG7mxllp3jTnd7ENxJCV4su1q9XO44G8V5nyzmUwWV9pcpXrtuU7pGr40ywQVZ
e7CwWsfpuZNLfkia4ceca34WUmhlxdJCisvTBqBtNn0JWCM/+3atP8fO1hSkf9Z+1qTPd67FCmPE
mmOAomKfQ5h1AH94gdqWlbAuyGNjYn/T5z0UHsuYwwPg2wZylT4nNyFk4yhB10YUeKhsfdtvKfVC
hgXwYtXGmMVAApBaLLKoAY7vEqI91ArTUDruoL2Xoy3SVIqyAsU90NHB6JH32Jlp9JSg7r6xxDzW
q3loBpJ+X6hqoyIASwwFggMDVkbD2nxKTZNcdIHnl4FNhoI1I9+ldXXKkzG9AhuisTSm8WGVmdxR
E6hXNgHmHdyqbmOery/aKaMLSOKWLYkfLqqmSh4raPFKpiHxLVyn/W5d8+oKburp60bc9EpWJW+7
oFwh5VpLKATPkQlV38ZY1D+ki6ZynPVlNHG3p8wtOzFP8RekiPVZTPC00WJxzl8CMNvoCebGwtqI
YMUlIgBbv5CDUSFBJhdk6q5txhFJpQ3zvZyW8HqGgQ8gK1JYwB2da5YzFBLLvXLJmJVt5eKH2fLs
pXUdAbxeT8A6MunyPXgEf58Qnl2quaffJmrURc6gd9+0EIhzUwCspgp7DlQvEyPA7CR4w098SMbr
FGSNL6opdju0EpbAL2txgrdlhjjRA0kGk6Su0Z8QNgJHQdUHy6vGnncfOuZPFQHtji+FL6fhIxwq
Qw6IIVkuid28EdmQvSbK0L8USb7Xg44uw3Qebel152F7AIllkPfXHWmv3CKyqzxu20sRKNYUzfoq
ggh8WgC1RLIsjyowD4tegzILDUpBDoi3hs/jUIchPQb1mt/p0Kg9YZGIywROErC24lq2qBOSqeZg
Ckz4uQbYeWwqGhyw3l+btc/uNYjmUmipPkFciAgizHDumrbbG8OpvKIKOT+UAjMegRBA1ecWX8Ni
wyxUaKG6w8ztdn2Qu9vaK/NdLyMJYFQKJdKeJHuqGE/OcYZ+F7mhB/kwoBiQLe1uO07oQUZencLe
RmUwBguo86C+JKZKC9b36minZdol02K/RsaIncxUD31l+2zH8KXRQwtFfLRezq6rpoJBpHqbZBrF
AMi13dKJqPTxMv4VxnO7n0I/PTQBo/s5cWavqqw9JBk4tNgQ/lDP4XjNgtQeXR5D/jPW5maumjjc
N2sO7UgSdVlJjCAnN12YOhEl7d2LCSCb0zBUHOAMab93WRru/RrgvmbZs8jkD9PW4ykm2O6DtN1g
ZvwXp2kO1p6ys7m2kDs1MtnNdRgdIluHl+tAmte8ATpvpSBHeH9QlY5c3jVWxucQ4NeHwTb6NCEh
2U9a5mdxosZDuiDzItCBAHYQ80XdKQgm5ALhlg0J2QUeVpNlUPM+hvzu1VJXlzj3TzX0U+XkBTtz
cwwxDL1aEzec9VDQQc+DalGF9FUHw900ZUgd6r4pwUofEaJJ4WMCeV3iCwGo4FC3KzIMGbB9G6jr
dDB3aTAe81EfV9dNRdCBfAlEfw8NKKxDaq0OvRmyAh6PqGB1H4GWEOeAKasDT+RV3BFyn4+LO0o2
5WeJbyrIDLo76CZvYRwQB7iQ6mJVpC+Z9LDCTeEOUhMU7HZQO7sO/S6pVLbVnOGxh6gPQTiNb4hd
wNTlJP0EuSIUMg1XZU7DH5ozeIxAOBZ1N3VFVA8UG1krsB/E051Ds6LXuvN6nxJMP8gUz9gy93eM
zBk241UAs5zCMsiH6bR0Jj9r+ooUVb1m5531d7Kmm7TyTd39X4TxrZZ6VchfjL//UdX/6tjyVhah
vPm/K6nHvrY/vv/Pg/1mf4z/cPT+83O/iinG/hd4YAxwAdgbKIl/uSHQsHdrloi9B23f8LzSrZT5
VUuh3xsYqDQGTvDmkviFMIbwjcYRBXYSQmsKvX/6n0CM8XvZyHbEMILAB8KRFH2w8Ly69wijDBvT
h66lP7KQ2ynfR0MyAAYLhrlenyidhvZbQgwdD732o092NlpgMSiJ4sFL1ZukJ6WKljY9zwX1067N
Sa/PXN7J8UrSbkAZoNqFDi+0tc2idoQxCU9PlaZJ+APCdj/dS7Gk8hv4wYG/xpCJsOuK1fCCFR0k
pDiVZKCQGIsQbFi/qyQ17VAoR7sOG5vXOOWqg9brIurivvmLjLPCZ/52S2/f9Cp/N9e+t9aiPxis
DEkOU8X2tFIMF2bE33VAadjVk2Ai+8Gd6ht9ZrtEJiBNZ9RVZ+tYWegrwfPiKbcy4HXE/yTt2TRP
/1LR4PhwDkOMksTouYAHbn30VaxNnAGBYfX3JgRZU5dWxTRGRpNHRDcHs7jK2J1BRZiIgiQE0ejW
JbEfI1DWK3PxuQVSOUI8Cc+DCa+hAtX42+/HaEOi/3aOKfpKw/aBKcRC5PqYlu/HaBE1gYMgJt8Z
MXMQ7ao1rVJ9kBkIL+jmjWXsuaUBt+gn8M/l9ud7sx03yWFVRNOQzXny8bhQxatUkTj7XnnMOVbM
wSDHLyLhUV8Vrqmn+qbnwlqLbUOhtcgbxARTFszm/5/DvwfoYUVCv22wBGgXjEI5whp6f9kVnWsS
LCL+TlKZQuGEWpjRb1hIxJ7UWqfyuiahCq/iViMdaEeQxeBiRS0xKL8fCHAO728AhZMpozTbsBe0
7fhwAyyrg8a3PX9FGt5Tc1QaTgS/J7wbcxgLMrPgrvz+kP9+8VCVQTOEPrw/+x99MBwJqLRkA4fH
94Q5rPKDD9kK6wA1DnJsCCp4wp7NhFHXIOjR+OVZBX42+X6uVTC4P0yE8EMkS7eOsnja6bZQ8YRH
PNvpw63I14bmgyUvsCSkHQE9LbYFAXu4AGY5uQZSc+S9o48G6EqiGGdFQR5MD93AGg9hR2j6h7wT
nemROCkT3XfwyI8vvx+zLZ7+fZ3AjBLgkXp4FFiKGI6nHr4/y8kBPg70urwsBs7ooAimNsBgBYuL
KSnA8c7kYYhavS0a69T2glpo+k8HK4SycWuMiE680E4jtL0/jQwZuPUw27/0khLE8AbRa4VX3kMo
QS9iThH3x2oy7beuQUoIh9PQmZCeZYAS5rbQAtF2i/xe4FM9Svb5YjPXq+4PYSX8OMfCbZBSoIbo
ahBQ9lFBuICQGvJ+jV9GHjEChaUdBznd6tXWSO6d9honR9Juxt8UahyYQkEMe/LghoGfRvilmqrs
YGPxF53QveXIxwLGwXvRgMh7GPertSujOF8QEiPS+LA/D9Z8o4JaqJNhEfv9/f+gK0SkggYN+kwW
oLJjFJP1/chjZvaQWs/Dc0oVbaBvgVgZUxEmmTw3Zbgx5NBR+bfoKacEf5t+hpMh5Bn+tDgL+cBh
cvGfF3TyMYrj8XRIRsBbhhE0Rf82LdqlHQEFqeF5MFhFeh+DYEiuIjR58BfxCJBUFzmf5fqE5gLe
p8UkDLj5EgHfsftKr5ycmQ4Z+5Mh08ius5ptCcKSzJ3Mj+1Et9ujxjjHFPJzSuf7wTTt+rRK1jpU
AFJum1aN0ccNUn0u8MsY+ff6BD3ygnsX08bjZVyDykKEScd4PLB02u5du1Q1Egz98/BweBAPMkMt
Db5CIXnAmdek33IDO9Cu/baMDDToIZ9NOEPHCB/xpTEtNwV80AakKql4t5xVCTbXr33W8+RpBl+F
SZZmFfKMGbAgUpTfz42PIRyjn6KrIujYDUGP0RHkXZ4Rc99XYT7I5zXsRhSBSwTzCRz0qoFiM560
Q6D4/RE/RiN0CkmA4WPfBtOd/9sRwRaOAooj9zWGthmT0U3JFv6iMW2xeTPYSdkzb+IVkxA4jB2r
qxSBBfP096exEebvoiKk8nBabqQBKIVNLvz+ytd4njTJWffUJX1n0QFETZT8UFpoRCN4GPpwbzgw
8tt5zCpEnEFQVe2rzEawAmVpCnkNdJGVvpA8g1w/Buvri9GFbL63GQnqEorCRV1gEgVoiRAkHHKr
BHLbbbGLAPMQnnRkFyfetHZb+TCsxjfoRJYOvohbCG/mP3h1P8a1DI/hCLZOZtFWE4CP/bBbtYyL
3ukxfYRnC965PTUGSr8IjQwwbxMkWcmZCN2CabtA1IOXyv7MbAkbtikdT42L+ANf2DalI12vnTmr
hyjeQqRexyA8aDkPoNhX6jenPAfyhgkbemgXn0waaiyjP9zE97QMeCAIIrBtIqrhDoZwrb6/iTqG
NE81ffSYWQHm/2AhbcYJWDDR29L9uY7x4AuPc+Ni2ZY4YuUWUsygsdEQAcwGcC/dfqV0i0erAq5K
4Y4DJItfae8Uu+Z6wbtqAWA/PEB0yMZDSwB0HwbIBeKx9NgvcLl/uLQPFQAuLQ9jIJJYKmiuiXzv
/aVZYOSpnJR/jKt5i1TWaEytVa61erVB1kY9gD+l16c0gpusLTqiQtyQhXWy8vu1YyHomjwmk3tE
lmowHHD9xJh98bwimvQ1geDqmDg5bNFtQtg8q6PBIaxZZCQ4YG15gJ9QY4UYiq5KMBTWpoLYksqp
wZIQedTgp7fx2ULh9mTa32XaH9YobOsxsqs0okCVgJJ8THVDtybMM00+zTDLITq8pbeRyJYZrUuy
SKC9xO+PGH3YjrZDJmiHHkHXgP8ja3o/7AHYpIQNS/ppnELMEOvxQB0IN1aL8QFEnyi6546oZQQS
FHsMuJx5j5QFQQ+j5Mwi7W3Kxow3B26TDMEAC3K+N+i7jh2gI1j4dumxUf26bZWGHtgVC8R7WCtY
RdvtqNpluxGkqUO85L7J5/tAdQpnQtsWexMkDVud+vtrhzUNF/e3TBEXv20CCBJQ/iAL+ljZIB0c
ITld/CchPFSJhZ3aGJ1mHBqmXLNoTYzfa2EYQK0cwiKwBsboWp8HcooX6DiQ7ZALSPlJcsU7kcYl
oPmleg1qCVsYnxK2a1NA79+TRq7mvlOsM9/cCu7kJplDtCvaZRDw0aHUyB/H6eAczeZrowVfIJrp
oMq7hIwizHd9b/IQoL2dDIcLNdMrWIp+NslSVgvMz20xr8Z56KUJbZLmkAP3TyDRsD7Z1EDhBNPj
kDsITJG/wTh6siJFZlamq3TrirIWU3E4La3nE3SFMP0f5jyt4h3tyLJ+grYxqp+mRFYcRLCNwtKj
PlWABis7QmlUR+irU1FZnaFxgt1pFbj1gud9EBxDF4roALljJoL9AEouefR0rlrymKtgWT4tUEXY
KzJaOHmwY6TTd2oYM4/wMFS9QnMpFYrxLl8g4DzyGujGYVVJhjZAcDDFEXyWZh119hJ2TdZ/Bwus
5mWHqeL1j3yyzgVlK90YNmeQy2uagTULqGRHDmCeXedhStr2ODM4MaX4IdDSCG2AyiWMM5PA4a9m
TOk1NFAZ38UssCzY930yDClwWl4LedlTeNaqfTPDqjRDW8SrugbS2bmJ3vMezuQTaxJRZQfMFRa3
xTCvAbZ1OWa1g6eeJExD1cTN2viTq0Yi0FCi7rDblG3uEgTYeagn+kWRidHxhMnhCC9djLQlvJ4G
ZF0wuIPtXtiNRF80vNi3X5K6Bn8C3glVvSlXkK36ZZ10Hs3nDTNDFZ2FCyEp3NQNBR19XCDT6aDk
TuZtXwwoqXE5VUyxqXxbuGdBXjZU5NDpeze4Ib1tOGmcPKRtTKLh1E4+z+Yb1sQw7wL8zTdMIjWW
ivYprTgn6wWc6CNGiniNkH2FqK0FOkPFHDJnqO50HcpbqG5ANe9BD7mx2qs6jHHuCFnbKfmZSIjr
gkr4Wu+CoW02S5oNCO2/RFXU43jdJol5nKpM69KgDsbIRtlUYwcpQya2L8H5I2UB/5hvOX0iRlw9
pE9hjxZMjXDbiMXStnhRIzqJPPRduoX8BPLkLC1zZxUmwNoj3ziih1iH9w1vlwrVw4rh002K/2Ev
GTmOJkWIIhO6/+32hEMiIvo5lMs2zn0Cpb3dQRNhcCtI38Ln8kNrFDQaRpcamVbpstBvPtZMwCKF
O5hMGlaXpp/qHuNFxKqOYlqTcLnKmnQ75Rp3elgfGGYWjhDjT/qFk2WbYAw0Ne489QS/kzn8sWiN
MYd4K7bYTDucw4wem7jGX9djDIxiLwDcBH5HQTCwh5YmPAf75HIAQGiLIUKMxa/Zw9cxx1emDdku
jlv/czAmzBpT/spxc7rS7acYmoOrOKgNefg11Ggesb39H4P89j4gBVF7hc5Z4F7KsCdifmlrNtTm
WPexx0XraF3wqQpezzp4QAFeqbygbzdKrbPFVEPlPZnq1Ie557QIWzF7dpN3k8IozVEn8ZZoAMZm
SsAc6ANRtIHfkl5YRyP8UqLlk37J30ZQDVhBiGtv1ySiGjVaOaieufDMg3rEx4K3W/s2PRhv0bJg
zxLweMGepnK7eLjEBeZpFZrtMCIRDL/0UIik4nEldTJZqDhFvA3v20RaJw/B2h4XuX1LWJsRn4MT
ECqwYrRiO/W3AYVIHXQWvCqxStI9CWjfNqcVgpdlOFZol4NPu3pCl5HLvKk25GOE3vOlntNIv4Ss
6jF9RoqMFRdvZiS7NyOw7O0Lo3l7gSokw4vsg205dLCi4KWfWCXc4yQrWdWHvsrwvULHYRWftSNc
//YifpsrdTPmNj3+GvK8mQ1OZ6njFl+CHUDh4M1Qw0B9nOH6ZsEjMrcmg95bE9uDzxorjoPTRiiU
TFYOwDbhqd6QG9wmdFhMVbUtZ7Q72YCe1k9obnBokSwu/jzORwldg01UgI42EjbXbi74COPrKczD
Ce8XVo94QdJI5XWnJ/zbw7vDnmngQkBFGli+vJ7RfAuggDMNjh6KSs1PDOJ8VAHcr9vcd2i2BJB4
iTWML5DUCnSR28sOW2y3X0jPczDIObaq5WvA0PeLHSqpVNue/YKTwQIK0xwmIVHvvvpkRHPMs6FB
14fgGP9cM1plEgM2ctfy9SkWmXL2UcdOOHYGw9926UtejRiieEADCFwRePWR7tkKZypYRwOyut+F
y7DNms0HhJc3/DQbW4dPw4e2Xa9FX0S8GExwvB/9ESh+quUKXBmd2Vt0pwNk4Vl3FQ+hwTuYD7ca
FlTZiHn1BrKsIch2fph6bXh0qrhGr79ifYPeOMpyoIYgq1vgpTxsUfpCjdqqHswogAl60aHrHq7U
Jq4GCA+vvkWojNnmQLwePSJNc0Cttw3eVMcbVBChYR+w+Eb2kDJd4CGXuMqvDukZJ+eOj8bU12hY
sIGUasJ2d5W2sHfZu2Sj6vl+4egPKQ7MDVSOUEkQdCwvUoBA7Dmp0IVUF9gMc9z8lSQrrorB9IcB
7SjfxtxEJsTkexvJxiog0XEd1PF87lba8fSuXaG0fjBIpoEqrIPO2TPiLeYXccOKEWiSYLsGPkDA
rQ8oLzeUCvahDc0Fv6Pc8MxyL3T4kixo93TNmB48PySRGi35y9Vhgw4K2NFiSYtRAv8mkE5AgvQE
RNK19lNQ6aaC8IP6WCz3Dh7MWH+Hi3/W0deRZ4Amjqad5i4vSbSO7dOaTFGCJg7YHeBNsRACIKdM
U5pPIZoA5l2TRyV68niSzkUKeViy8dM/r+TtXuqhAUBcUopWMLisn+FGynmLf7mvtmiC7H9bvPXY
be+ABwxjBuXw9jsaBgTv8JXf3shjoBPdHpX7xm3Ukg9YyhWyRX69Wh8O+wYLdVuVebf95deURU6J
SJSjMT3+9IaHb+GUVGiq4E2coruiCbLbSaSVU4WDhBo32q9Q5p2c7rdVXpF1gwNH8ER4SZCW2RPU
GZjfSQD+4Rq45XbmbQ2m8fnXgajJsaVpTBXy8Fax9Wh2k7ZF0w9Tcte+Baz2DWjUGXpJJnsi9QZC
joaZJNl1VQc9ONxAkFE+TDUdcM3wMzWYSnVUbWmcgK6KPKSz3E5r+rng0N8T+0jB6bQt8iHaaEY4
9ZdtTqbo09rW4MrHvuv2opFYjZAYbwQBcOAt6LVQT+N7kzEkzYWIYjQ4/QPw9aGgB5aD+IAZjL68
KUPjrQ8FvbDgEIBXRw9CoS+nLtKqWrAaIGiQ15ok2wpC38Ftdc213s79D9Xd+9puOzwebIwnrKAL
XojjfyhszbQo4sYUUNVbaIT+YltXqAOwkn5/qA8AOlZTgCbDOBYgK/ybbWX935oYQCeiM45U8h9z
JGjRdavUA6y5N2kOzgoRGWZLvEx1gzusEpPglv0Kjr8/l/cQAg3QyAz/bM/VBh2OeR69Pxc+xxHg
26Z6yMGqsecargGE6HHM0C5pVUid/zTO/35AyIQBHLAsjwAufmyK0AoDz2UHE5xeemwUaLea21Pq
W0y1Xyv79xcYbrDdv4r27QqB3b5ZhqIQdNQHIBOdopKqt5Ld/4oYaIG3gfaeQYZHDwtkZfOhGfhq
7iYX+2bXTf0Wz2OD0EDGNcF+9Iczej/TcUYopTIYkSCZpjA4faTFfB4QmNlifQ9/77aoHPI6rPFl
atF3CJ1g5xq3QCQwi0DhHGNzQGpBINgjSH5iPa3lrFHZH2gXK7T6WRBa/h97Z7Ybt5V27Stig/Nw
WmTNpdIsSz4hJNnmTG5yc3O6+v+hnTQSN/40+vwDAgSII6sGcvMd1nrWjJZPtPzv3B+xcUXVTD8Z
jr/2WeLXMfvPb+L3r5EvzgbE4LAxMQzD/330xHO37c1JG66pLNaTaflZCAnp1Op+1nxlX/733+cA
sPyJ0V8z4P9+nXoT1QhsCHX947E3JavjQQfP6zSbTmbJ/zRaw65t+KjYeX9YT2CB/34cWCPo2nrI
ch43axVMkbx+Gx5gZ2tby3Z9YPzzG1zPl79cplwQrJ/WhFT0KBjZfp9njvMyZd3iFAev1rrCCb2q
8qyvbscN899uwf/8VXx1oNFdGMI0mb+/tyo2q1klbnL4VYoMDtMRriOzrfjXP7+r33Zr/O0oNAKW
8XyK9AGcrH//3mqQy4hmRfAJ+5by7ddtZbrFWip2FgamwzD6A/YavYKx5208lPU8CktKURn2Vj15
z/mocwj+l9f1SyLylw+cGSYfAXgToKYcbTjp//7KdJ19EcQBCZ7A1FO5NZ1pVUko3TZV80MiP8aX
00j8+jJAjb3QxW5gH/dGdaaKQBqUhE0hmEhdTJuZiI6WER9Nc4AWx676CpCuMKY5jE1WYW+yBXmd
bCFK2HW7rUq1mH0Ie9eVVeR3DiPAizUZjeXeBb/2jIVLk2TdYjxCMHtTJOkQIOVRg5sZzGpyJCQH
GiAvA0Oo5YJL5I/CCc/7ejsWv8odOgefh5j783j91QIVPz/NMa1MHim0rGt5Mg4YArRDg42yvNam
4uOm9HOVd7UkyCzK2l81l2Bpy/cG5stYAHDJvjIWlJZdUGeRK/DZqs2fo5iWxznA418F1s9biI3f
yOcL1n0tLrwWteGRnqdwza3wG35lVdDtDCdwDHGWhLijCQPfs2co8/LZohwPrKs7Y1oQR8ha2jqk
kEPH/Hf+1R8G4yzRbaaFqhgHMxny2H5s8rT3mzjUVAPaoNq0Fqom8y5oA4F5L2ld7NdPzhwMS/PE
HmTdtFGbEjpwbXr8z+5TJpiCJxHXOTKHXdq1hpEDsqIY/jHTEkv/5LjTaH4FATj3Pjw/WNL3dRDk
hQkjDhksHTrWnakPSSdgx7+tm5nvFka2ucB317VVkhlSMhqOH872HI+XIpC9XDasyceMLj/wO/a1
WYqW0tbLfvxwUVJikohtGgGQCF5dda81EyFNbUCurKvAP87Ilj194l78iudJvqtR6CPc/qP+YyC/
1q9zjTkVCuTP7hiZIlVq7ZUFrWQXoNTBi93pLnbvTiaNx8swCyTqYwGt4YmHS+M/CrSU5a7KHDCA
aZKMj86cOXk0Z2O8z+zBOmS6tRyrbhoOTFiaB69zzXAKnPTqZVjNmWUP3VPMRX2wEwdnDHdf+oEr
tnwF1dpEE+4LeuTS6vc04Yy6iDQ4+0L/2hTcjjCc3Is7ZqsXM035dnWt2+XeZG/zJlO3S172+pZu
od8CkrBAoku3+sTk9oiHSpw7W0vOFULsrSMZjSOQAf7YqCBKg9G/90TaojcQ2TeoiXFUpiIBf1TX
kRMH7clfzGo3xzXb6VpgHKQ+nmuEsbW3G/krjz594kc3NWqPHiP+1gYIU4vJgIo3B7mzS3O9eRQ2
OwNwInorN5rVJM94Ofz3UqsdRgyqehp9M9vqmDtPth6k2abRNAu2nANgs5f1d5l78T1DzQwdVW8F
3wxWUPRZhjAeBjNPEQnPtbY1ZNU/yMFmEMJREOEtUSdLdjMWg2r0Ma0Eceq/ZoMZzEeUEepTmnZu
bBsletqvrErnzWA5/ne/dzBratCdTlWATCKyjT6/nwaroH+rmrMjewNPkp8273ouxWXybP0ssbNw
hcbOuttNhhFggppu0EEPR6by2gnEYGpGPqffN2MccSYti2+ktPNCewPPNX7HEDyFZmYs71LmjYnS
QSBrXBbJlZuWogQs0HQKpMtYTCdXJW2y0Q2RXWfD4yCm1QuH0UI0bft6KU7d1HY7Uyjz7KxeTCbQ
L844f+oqjq+2we0zSNVHjDwRFoMzGbzImRuLVIO+vorU7t5mMVEr6qzdE7lRBdqMIsSKgZhdU5b9
zsa82VhmWe8bBhgbU6/6+8moi3uZzn0RFn2fPMPibV+7SVTmBgTNFMZGJ5D58/rYBPvMArnxpnQJ
7ckf7wJTptAplyF/zyuxbFg+VS91k7UbIQbjHgyifxRm54eq0+OTndX2u/Td6ZKzhxhYh9iKXxr3
ULy0lk5ZJRfX15psQw5E8N5pFFuRT92Yb5xctnfu6BY7DnrXhUeyeIcePP8d+iE0J2PaPZtNjWEV
i8Y+F4P73lnx80j//ry0FXkcgGVIq2ir5PvMB7JPe0+pLeXp/Nh3gRNvOhusiVEk/UZP4TK4Ae7X
lvrY2CSeDJ6Dug8+IENZT3kXNx/DMizfoTHG0eA15o2N4GGv86SI2qntH6l7NRwy9YBLQBZfF2CK
e6s0YhRjjLmv6azbPMsmTiQ9z3zmVE7hHjwWRqGQdb4vHNU9ozmzeP2DeTL02trlriXfmBe2d0Gd
dgdjLoPHquqWcyLzdjt5HLm051V2rW29P3XKHu9qGXdPne/bnxYMXuhc7QxHaq64eZi13RpWr85T
54G1HCerYZ7k1/vYreyIth3lJ+OY4LhoXXzBudLdLyA4nn1GOm/t4vdPPPCTFaXm3SyG1qOtQl9f
BrFzYfMOW7mvyJoA9UPyi45GbrckWnNXsBq4S6ZGtCGKFX3XjStTsFd2QtO/LJcusNUZAVXB1KLC
52EtASCnpJpwBBT+wWAXGQ5isW/9IbHYGHTaNy020cZdZsdesiCcq4kaPII5U8FqKRxr8PqtTp5N
2WNjEfEFunJyx/SnvGr2XL+UfffOz+CxxtbwIisqmFx5+XUKcmShjjCyU9AI86vScDeGZTrqN0iQ
1HNmDkO7h+eIXyxIDe9sx03n7wK9qoNTlfoiYr9sYyJkDx/5wVJ5+GT6YNhUVlxfGw0dwnnWWo/P
2tXHvgNgM7CAMqbOGAGutNWtNdnavYcvWwBkxda+TQPRPeRJBruUVfScnkHaNlmkdTWxEmTpGNoe
y45cHma/BpG3X0sPPQraqSmbgk+tgYl6KpgVdACKPSqX0AGiOtwwxcllaAHIfhq9BToM4F/3goww
NvAKUiKeewYE/YuT0ZV2nCOd6FcIGsEQyJ0OQ+96J8ec9Dp/Wqw5NkGETa0eqJPJYacffZtNxb4t
57rDgyUd9RhoSQF61kzKoNtga0nKItTsYHrMLNQ8GzO1y/sGx9OyJyaFSBLda039MgaAjkKzY79w
45UcpxHCvSVqmLidckwpIYlKxanX5knmt+WsucGC+62q9amKmB9VxaoeE6ZT3fZwjv0+mt3cLTFa
KNlwP/isXUPcN2YFSUGV6QXbJLiBqmb8HMKCaeuNVc0spDyVF4c6s51mm4zOeFNkjG+jfMqmw8rA
JLACr67HqC7vjGORdII1KRiXGTcXW3k4kP1Vc4LJC6s8hhHm2QXguplZ4oshtO7bAOYisjqYEHvQ
NYa1BYpnKjOkhEs1TF1ylciNGy91H2bNbjwKM+XPWRlykvb8D42uZVP2ySHU+iBooPZAtmuNKdgW
lWd46VaYU+M4N4Y2uOqZJXMVH/LWt9+TYfi6LGmC7058TQLhEHvSjtXjiOZkG/sx7kQeHjqHhNux
lvOWczmb5bWzMgVzuIMz24pFbDzko2JTVU712NWlG3WdO+Nmy2zOV1ACnz15MjuvKVkvJlN8w+bT
10NjkmMbLTxs7LtAptajh7Cpi7KBGRTXAxfMBp3e+M1oRHEv2lr6W+l5yUU2dfOoWtknWwV4Ij4y
zcaTpVUTgOAmb8lZassdGFaH7lg3oD+mzbmIHe0GV7B9NgXL1CaRLNUD2qLINOPhvVae2i+TCaUK
YFpZRbgdW7kVhou5roCkchQdnOYA6OkUtgXxVLYrSRkJwL+ibUWoqY7S5c1tZ4bvj0vcZd9i9vHt
PmfvF3XclONmmYvuylOeh3/mFmWU5dQXvASI7EGR7RRU0VDVIn3Js8T4ykSQXITCCPZ4M6udJ7z8
Tsv1Lhzgpr/qdfVc5ijUEhq3nWfG+VszmsCCHIKT3iw9xhhpWvGEO3bK/TBjaHuKhcmbTnQm7xnh
FTTh1m1OW3IacAd/FqnlfS3ixHgtDGu8YIRGOCHa5mgxyn5hKQC8izNtEhsr19sbN44t6lYOx/Ui
tD/tYm3S57pan9qTKT+agYCpLaAoFrQMuRv3WDt11oQQAqeeHdjSMMT0xtwgpIFzZAPXNnduSiHN
jzRNe0hXJa9hkwOTw1/J3xsyluOaSGfhHCtXmV5ECz/giNR4fJ8q0fRfBF1bGhbCsvSvPHjHbhNo
/jgcMHa5US9y7YDD0Hxe9QzQDIdC4VnXxK3jTPmHGnzB44HOc9eoGJVWEzvWhZVidxaE9ZQryMTs
LpNU4qMw+4kgCsafcOyHcvrs+5l7hZuSPk0JpqvfBrZpw4ZN4QARd7BODM8TpFzZBDZ9lbN+t5G2
xrvKS/uzPdO/bTTKkT4q41ZztloL0TPUl8F56WVZvnkCQ3khLRmVutbqVzV6xiNbPz9ArUQNt3H7
MS33I0XVidOvHuEKpmQYtVNA6Ym6RGuuVjoaWqjiVSE4V7oDJlQMOB9QynARhXYK88ouBpDhLiue
qgjzgiKt265tLC7yGf4xNbVVx8trTY5OcWs2xigjuoq44EiDDLzg0DdUUs57TTfz2r51lQWctTDa
zHovkbPiiRs0f8rjHYs8ssduirRxmyCk256wEKslraQKPR64zhyl7NUADkBXdOwZ8tccV8V59mNG
OqFUNGDijkwLy7U2JDioQO06BQ/2Fda43STRyK3CegeXEPkNmwH6ltvvEmq1+qhSpVU/ZCunwdmm
6LKqeuu07AAfwRWzE9rjc8z6OupmW9Pzu1zhuXdebA0ZlwJ1othNgELtePvfgcd7Op+jzOs5CjDj
O69O55jp468hsibWRQjs9nVkaxrxJM4kQ66SAnQM636G+3DxviWwfSZ3j9574X5rwZ1nb0pAJUtB
IjCA0+hs43x0eURwHPcvCshY6196CsrpqueBPoN2SCQE3f3C1o1vi0de3uQflq/qoYqcsldzfbYU
b2/Z4GozTRkixgEK/Wj1jsjcrYuANrNOulLt3KCPynpqHHqHpN39BLyYyAebqEAddWMiMqN0FwEn
5hxkFFG+vc96r5pnwXR4YMKbwYXqiLGyt0k92Vm5FSNKoIDZATkTl4XSz9/GWunGbOeGGHPixrDb
wN56MzTGPfvI6kX4qnzWUP30G7PBFLfBJTwtW1Qw1Te9Ju6N7ZGedsW2cWWQRkBza2/aLGbLUnQB
EPNT/X8CcDPcOah2D8yns0ujw4UDBKducoO4si1IHkRkQ8CCWmjlYx5Mo3dsKeG8jUWehr2ZiBOs
912vo66cfDHi8NWH4ptYdJhScWfjcnZ5jqqot5b5QWb4jykQtHJLBUqHGOfCcfada/dVFANt+NCW
mBiJjZGMrfHgYwt1ojGr688OShjW7nygNahhP9CNdDnhYpQTnTyo1CmGbwmRJUxcqKjNGv97muzw
jw2xtquU4SMaMlsAE7FuN80W3LSEFNl4b9AobAaWXmwmDakJZgY7cfZmea18V1eRqTuqf0WSgZxj
0wnUfyFakxbkkTJM9E4Mt64JnTdozpY6/GZiETitAQLe1ivc8qQlskFirxxMH2j+BE7U0JyVjPza
CViVaX26x0/BF+NNGE8tNH+HVpRkQioGZh8LQgqujTi4VwR+8T4Xwu8MMd3NfNmRHcR+sAX1MX4n
pIOiAP5BctE4huVXmssxvfdyABRUXRaOWSoY99RBJc4+OCKteW8Ndo4934pvkG8m35IOaARQtGVC
RhcrJiPLkk0bAeD/2Z8cdTeSnMdbwF7H1tqrGk5Tr8JEUTjBg8H40CN4phmPBkOLLBrR7HwZLRt/
o1NIG1tyniOb7JzHNk6aXW/W+qvbSWMTeOgj065ccA5IfMj4suYrXk8zi0wlB8xmBF1CRsuGYDgm
bodqTtYLMtUkHsEyjUG5SjbohkNRezNO7DVvdKNbGB6jZMA9zowGH0a26QVRnBDZJXTspJ7ljaWE
uiSmQUYacFrh7RBoiKdx8nrU0D288Q0qBe+r3aV+AsA0tW9bba14pW9jqKamXp30RRwgkynaLI14
oOcowhiX3C0VE4DN4gqBp3pA+BdZepVtl3Z130MHlUfkLJWIBkv8GGGtbM1YTuHYO/Obx2kxEPSB
xToq28F/kE7XA+zQHKelIciYAlVmc2OVsXn207LwkC/FQLRANwdnTUvNj7nMihV2Ie/QEOYh2jTz
HbeOqtl/eMGMU1zmXeiNdjZHapxzeLSd38cE9WV+yfnbWeU5N8zZ2fXu6LxoMUSUK5MruBkITFby
gaiMtyxAiQGd3+iuDcoXfeuNzkxTEJi4LdpYd6ptBS79qSBiBUpywfMZCJgbpVbX+uvn5t6O1sgY
2jIbQDllZb22qD+IYFLlmyWr5rXrYcqlWc3sEaUnAq5k4JIvu7dEG/WE2mrSiPZbjBsQ3uD3mbt8
rROlHbucmzrqssK7BT3cnHqnxYPSecWFuYB30GLdf2FinHlcBon7AXLS2k62Lh+Gjhy/QjbwDPLB
H9dqTa+Q9NSMeDwp/QMUjZogxECjcKqyYNpD9BvKB1y80KgZbkUdlzrRKpZDvIsVGOd6blI0i6Px
msbz9BrEPVFdUulYOp1iW/ll/AO5sx7Zjt0/+5T7e8OOjY8GZfwrLL7ZAevNB4cV4RUvkH8zIT7Y
i6HnrvPVO8Lp/k4oCCPgyRrd4D5Y7qA1wfvrDLva8zzoatoMaUW+h2iGn76MrdkR21kZkT/RqLRk
5C6bKTUIYvRL+zFPCUgKbab6RyGAdZMxCqPGsgioYfrfbQvBPKj74AFVVEPEbh531SsdLXD/h86W
je3c9nnacsoTBbVqproWXzbiBVI0q5ZdA4vQ5tYGS4Qshli1VdRlNfrUp0ddrWzqIwLzuX+Os2l0
Pp3abopD3hBqZYex3em9FvmDAwOCw6tAZcOuDd1GHhiZSyJk3xoLZSN5JVnYFW6nT0c1T0wxiSab
nJ0NQNf/Cpqi51CBP1FCfxnhlupORJ2HfiIiKDJJENrAHxiQSVPGo/aa8Whz0yCvB+k3D6lovuut
BkE7YtGKgJBgrXEuUjapWVKgYhJJvIrbuQZb1iBAWxa9vR9geNPCZNbkdt1L44/xkEcsiH36PqxM
2ZRf87yRqonk6PpAJ3VhKdl+qGIZDPAmeSKymX2zTUkGVDjlZDjE2Ddzopk0oDxoK91ED8o97KHB
a78oLVlMZ5PFfsGfodH33Oms9ZKG+QwWG2RROEHM9IbdP6/n/r4hZ2uIAkRndbg6eVnA/h4HyKjM
74Fy1d+rRqwLjeGXxsVy6o5FufRSWyFJG/QJ+FKa5azo/ssL+Pt6e30BCAUw7wYsgJGh/84zy5wZ
bxTg9W/FrxdQ/VKeVEVATO1ea9iL/dqU/h/N4b+Q8Qxdx2bxb9fLf/Jiy/eP94rt/S/O3gpy+PUj
f5AcfJiwKGowyyFDMLhX2DD/gcXz/X/ZQJ0sdvkmAyr2+f9GOVgOwDywd4GvI8FhKcYVyMr2Zwq4
/i8TY3/AtsOl+ed8/V9oDr/v2vlbVv2JgYlu3TT/fiHlhjBtadnaIdA00vSyfIZMHdjy6S+fyd2v
tfVfeQh/v16JGufXeCuDj9+m43r/bZm9ECM5MzTXoJzZZInweI1oQ/xbkN+k9/3z71pX9n9ZnK+/
CzcqJn8suIgHVkDvX+VLfBeodAcrPsxGE9zqbjfcsPhnybKQuSLciqDbf/6FlvGfb89bOQuOjs+L
3Bd99bn9RTE1FdJpESrGh2zuYsbZbdNfWPwAoAVw2xBdFIzBCzHVlrnTFeUarRg2+L3LrKbet06i
oKrC/AFmDVpc5BmR7A1BfSzjOv2jRnjBiFgGoEuTYD8uHRRcdzahK031iWKCjKoCs2ypdf2zAYvw
hEVV7LDxZ9d47glMSzBkR1ZSp3tCH6oj6SoYgUC03ZvoQL+zSF1e0sLuXjyR3OhqzrYA/+tQMaQ/
LKZV3NgwGv0wzS11b0pV/VispbldrDF/NvWMPHQ9LndOm9YUYeR4KSLrDnoT46xdWnPvDzoKGKx4
WyNlalT2ljx7Rt9caRWQxvLYfdfLRDuU7joG7LTx0M48bzb2FMQux77ZfEoCNS8kTE+slJYUVE87
Uqt2vr3Tpdm9ZYUWjNCU0s6TNBvziFr4LSBKa5YXEqbynVd79ERjzHUe6ikkAQrnqv5QnSfeclwW
X/KgMB8CnixpOOoy+Jb72IY2yIu9lek/NwUKg2zadYNPRYagK/0o0hIAEhut8lYvGRmFbOGbi4c1
6TwzGXjx5wVTKGBbBovrgi9fWMnZjLZuEfo+pBNQ/XjK54cUFe1WGnr3hkVu2DWT3u/8wdWczYS/
6ltXVek+rdNPQqpFlCBRPCeBz97bWJy02ko+nLSOy5u2rJYvoA60ewtr/UUns0pu5GQUTEUHXYM8
lMcEljToPkG2H2OMcwhb1sDpOSsuhJaob4l0+4/CmPNyuySLW2+1PgtOfAQSV4/72fbEajJKu9Yl
5DP4K98AlpFyXtjnGGjRpiiS50BSt7WxAB8ofCoFZrEUrCNELdMmRICwlY0n+nOudQD8pj5BFqb7
+TsKNKiMmvfVipUVMQqa2Wi57UM8lubFTeWdA6+N3Azfs7m0uXsm6lH4GOQ55sbwfao8bed0Wg/b
vV4+ehAxId+s80GgRHFLAY/sbOn7hxYLEFh6WGJtkEFXX1411VlXsgvh/M+LvGresmzHwB0fwVkr
UlaDYTdX9n09Vl88K27MA1Fh42Bveuby82ftZogN4kFRzrgKcUi5IUjSzDcLDXxUJFWBZN1UcxHO
ZesuF+Jc5ulYBjrckTBlPUK0hEYB81LIEVsCAiclx4QPomkjNQ8yf7IxDyQ94WKkCAzjkzf36TYw
pJew+GXmEWox8rKN0+orcdGv6/04oLl5nTQbmxaaRZMJqT9KnWhEbfZ3MpdZa2MK6dHskzyTPAyF
sxq6RDYkV7dlcbRpkJiMdwkTVt/aCLeV6TmINaCSq1zfeTMFezd0bXWspVvckoH5kiMKd3ZMGB3v
mzcxXGTdj+PoVMxAKLrHokIjRMEfEP+pOaJ4DAZyRju95hhuKs85DHpfvnjxrK0qaTOeN6NyrRNi
J5K/x2UApe1oabB3eovpqRm3F/COzgEqsu7RlM90d9USGE9m2gA7lO36nz0Qlo/zrMZP16yZPNZG
LXbsWqxjU6JU2SibMV2hSvsopF6fKMKDbV+pFfDaxkx0GBY359a22Qp5g2fsDFc2AMUz5oMi6MNa
6kTVo6Cg34rj4CsbOsLlQGY/LhKr5capNUXTO4zV/WTZ4rtNIXfhhWQArxGkM0cOqiXCc1Km2w6L
8pHtenBbOpn7Xla02Di3BgzP0oMmNhYem3n8LHWIj5s/c7S++sHWs3yx9H66K4vcxXi5VM1jUpFg
sYHfCh8dL6+ruG/L6Oej7v+qwP9WBbLp/0tR8J9VIF7iWr7Lv5WBP3/mzzIw+BelCMilAPfMz3CA
f5eBgJPRcwOKwioNjOcnOPlPOrL7L2c1sNBqUJ/Zlkfh8WcZCFKZitIJcHRRJq4Yrj/z3f+ox4iG
//9CiSAP/b1qwnzPPwhmPUCMCL9/F13iAzZtYSr76EAGBHWCdLar+2G/YLw/lUnrHDiYgN40oDO/
oYTyLk5hs1TwDWN8gPCJGFwK7b30Ssb5FITXBQPCkwt4PIGY78LhkrZ3TctBPsz5kD1V0kFypIbs
WCWu8bURMSYjAhVP1MpbQDPtBydgfpg0v8soS8eJuSic5E/8krAoiVsxeYAW5iPa2uLE7KI+x55V
7hU5LxZjpZvGWdGWZUy7m1fpyRgku/WswjpVaa4VmVrinfBIodGJy+m2EX65F6UfXGaSEnM2mZN5
P2kqQAZWEJM5Z+z+sYEMm6Gx2p3pGeXeaMzk1Qiy4GoQm2tMjJNj03hiztlEhssQrm5ZI1GsCOuH
Nc/M76qZgsYYajPsqq5HSmnYnO0oduHtMOrrIMnvnVIX3xAbtTurw2XbZh3BBKopngm7dkE7lHZO
YPSUH1Dh4dWyR5aU3myEvWGqLw3xmEyD0vG+b7LlM5jH+ZUJvHWfoP86sE/vrq6VT/eOy4eDLyfb
sR5VZ7YO7UdlqSliEeTtxFAOe88oeBvJNG3soi4xVY4oggpbfdMCa5N1zhxagTiDzDraWDO3CpM4
rsOmjqQT31SFIPDX144M7oqIuQnFydC1+7YdnB8J81Nm3H2GtsAe91gr4yOZodUdJJsF+r+WF6eU
5l3bWkuuzgh38pdkzoI3r3VBVeCdZIXJQ1oQAvMUxHZ2s+iufsNzjn0MT/TsC859SbScXj7ajS32
jJTMgESYRj84Uwm1tygt65443+wmSexlN8PARaolfO8BcpLB1LsnLjKT1rCK9/Q76JreqUl6Nw7z
xS4/FWLvawyW7oBazTq7PQVPJVyWNb6Xvba4cK91Ipx7Bl8LiOWZ5Yw2WGcTMCvOnia5xcMnn/LF
CkJEpMQPaeoo6nhdLNeOfzVbYb7VgeHetIldHLETi0MOgrNiUCvL3Winzm0pxrOZjjaXY9sdNL1n
rJn076liKoQEozC2JBB57wh9vjvtVB2TWSA/mSvn2LSxvfNAvkbkn5kvll18zqMlklBLbPPN8+un
Bhjli1zzQRe91u+b1CXZakpxoMEXYNW8grSu6WA4Rjhi9HpHZ5STZVm0TGcsCw4lKjuIlvxQsmTl
s5/pa0qeRsTDUFRn8vEQ9JJ4dHQVEgEfG+OjZ8meJRVty6YvjKe+qY+JObqnhklhjdshpKqpamxT
eXEPRqR8cOLy4M5jf3LjpT4ypGOgJFTBEDCw3vomyI4ejrUdK8s28iTVaVxP+QMPe/v7wgowtIo8
DZcUlSGbmeIVme/07NVCuxdm1YR8oR52uLRAz8Ua4k7rpt1Yuu25pQHIiaTcOX1e7WOJIIjxX4nA
5X6I4+FVg/aHYd8y7nMd72gNGkSG5agP11ofuk+rZwNC6R2hHvD2bE2n7VAaSiOcwvJfe9CEAjHu
UmbM62YSVJc5uV3gxO41krppBmfHC7thctdhGH6vBFabqhfJBL5RZNwGwfCcLDNdfFkETNXJDuGY
k1m5QTyknxPRipu5jnHfGtprbhadv0kShsJZGVBJuS0Vele7YallXyhz9WOpM+4md6PdmHnRfJRY
Gc9xkwb3Dkujo5QOSW0Iu/p72NIFCuQa4KyQ7y4C132uO/6djpy1Dwlk16+D34AEjtcQPDyo7haJ
XPAS8NS4Lihjv9DKZZdqGb4GgDoOPBGXkIH9cJWJTWzaMOYXmbu4KmctuFTK7u76PG5vcn1smdtn
JdoMMsxIF0x2ZE7CYTVJ1HOIf/wChtk8uD3vsov9ZpdOufkdzKC6GQG/vdtWuz5cEOW9plWZPQOD
IKSZsj7YWXmQ7FlEs1ickzHUjDi9MwzqL/b5a+RVOz3qio++JlItmueeCLXJ9M/+OqyMprJJby0v
H7nQCCwJNNtBEqmrZT8T0r6vUT4ci2ARz6VChWwQEwqrYrkrBsveigEeIWgYfWE5ptU2Cp5p5xIa
dTWGxDwFRlJ8ZbpdRCM9OYRvHrcZt/gZ2Jk4MGOCtVG0XUAuoZtFVT3qr2XMYIKTKT3GvRnNpuvc
LSrXPgVulpMAdrRDNyNvjawujw6E6h2trLwnyNR/TkY/3hl6qz+mQ8bydfCQuczoq3ZW6nXXbm4/
arZZn/qiOP5V1y9sWSY72QNhM8Dh0kOYUjs7hCuyy6yRfOD2a0ZAHEROK2SsVZHp94yMOp79eZ48
KYdCZJNDDUYsaQX9fZu05aFJuaU3kwBQTHPVsX71Yr/9ASSgOA5lCpl3GrVLhnwL+RtxjENdHHpH
vbGDZ44ArD/d+HTmH0XvvqFke9dj9cMrlzdgXw+1wVYF07ng97XkWrJd20JFeTLbRJxE6nlPgyjM
lyIf609mQNOXLuYHh9rVuNSzmRygk0h4F+okWtkO/Z7EIeSQN5RarF3YRAPp2GY/YxrcNbFhwsrO
PmpS/l3bt0Q6SDf+oXBE+aBoRr44+gryHzSmZSFhq3t88/+PvTNZjtvI2vat/DcABxIztoWaWSyO
okhvEJQoYgYScwJX/z2g1N0SZUvhf+1eOMJukqgCEpnnnHda0iGYx18mcsmMkGyg1F4ESYglUqLO
sDQ6ekvQRLtETlDkZRcimspj/xZIMdn1n7obRul1qOL8gjRvQXZFPMfhLp+znL4C/hX4Om5RxF14
JD9oH+w6VDbjGqxxGGDBNDzUbmKuS02foP9W5XZw2o+0oeOqUVGOdTNPEivRj4y7x72TSLw4iq4/
85Nq66PEDODUHZPGOvW+weBG1yp7lcHvfIBlgVOxkXwo5zjfxFhfHTlBEN9rSQRFOxdBVIrpTNZP
fW54mse5Y2QUJ+PzIrk+Nr6jrVpL63eiVBNg9VJuYT3WY49hNhdJcsjCLco9vEeqsNtD07cCtI3J
rmWwGkyhdVPMcbtOay06zBZGMjCtCVMojOTY6ZCRRY6tLYz1EwMQOIMoD//sTYe8SgXrMqmHBCy1
9TfQngkfSvJqQ/q7VJjHZRxkoYRkyWPe97ok+zQ3ih1mpvqr1QP9BDKTUPVIwjLFi+OVjvexJezU
bT/3lltn9oewhr3SBUmdJ5go/NvElV3STb9p4sjjZu7896N8/AHLL5+75HPffd/Hff21b30cHstL
gBs6FQNK0eKz/N8+zjX/cHl5wQtcZsyMutHVfuvjLOMP3abKxPr0P83af/o4S/+DFg5DVNycGcOj
u/wnfZz1Bj19P/1G+Gr6TPMZRLtIOd/ytb8bRdvGRKtZJcO+whlwbeAbu4nn0g/srnucnOyTR7I7
1Pu525SQpwLGB6TbqCk7eiKTgd55997gZUcN85hL1eenwVuIqppDWdqY5CwSkuOmhFdNCwMEXtG8
tcxCX7NbmmS11P5W+hqNl9P7AYk8NzIcdFzV2UhSy8s2ooadEzFPWbQCQ5AymAlQuunrNGsfh9zn
AEgqUMvKgJiUfnI0qa9zHNsgj7EfEgfXHOTQPAovJhnSHohOmW1tgznBA2D5Lf5onwYiWfhd+ZhX
ySuvEINGZHQBMT43ImYoaizhvDiEwQxv6kdHpNgOLWPeUePrlZBcqMlLUFaNwJHGOyDN7TZhy60Z
/JAU9wKTrzR7NTJNrRyHW1l5TbvWa/4o5nnEkjAG5StwG3TvUCRtuw4bfmrQ+QyDtKj14IOu+tio
9qnFlJ4ki3zt1A7/b2bdjF7fbZbfTC3GVokPz2w2lkJ64hZIVEYbuxPzTVTlN/6UD5u85ZI5KPuF
bdV8/NEkKrjmA5nSIRd8jj4gX6bmdJfysCpfp7Ku9rXZQCkOJ0qIbCJhzM+jz+RoC+6Df+/r9BJm
mcug1aGyvOUoW53nYW8y0LamfnsPHzgDj6Abgiw1byFBzfvR4+6ZLRcdbffgCe3+bZEk9USfYdXt
WrqsAzGZN8XgAVvrPvIhMoGNjH9AQrwZEj5UlGbWgU7B34oU8lAF9//o+p2xGeSyijp+FoLUOWkJ
Pa8rMoPdIU4DJ3QWxhcLq88LGRS2fWY9vyofJgdIlLfKx+QTGBjPfubf0pB8GXw5y/XYeVCihorf
KbhLraApMlzyulE8+UHTNo9vz7sgrXg1UBYHeBgQVRuzZAB9efQ1hUXvePlRF9ErLzmrmr185cWs
Ts9lqVTLuxDVJAnn2N+uHA8unuCD8OZRTMksOcMOPxDUdz/NPPmx5j3BmjI8jkz8LonzloHvto9E
3wIwILznhWMxebyNbzejlLwUo8aPyqz4hMGGsQkhzB9zA7cUK2TR5lkbHieayVs4MjLAIBDyPVBc
YHZSYtFhLGmulb4uGuJYa33gM0Rxe+G1mtoxYhEnsw6xwuxmY5OhdMEr0UTikRK00FesMmaaAfP9
7NIzeFEh/yDYIduIcjbKNzrvCdhIcjPENqmsywJJ53mv484CEYWQxZ5Yw8XHpCJ7gcdtxX52jGK9
3ClqmA2sX17DzKuCt2erFXx9LSSyG1cfthCWQAk/NUD7I+FK8fywqCDjWDb+jrYh2+Dt5G8ReeZr
iHgyeFsAywrnFb8hOBxJzsQ25g+839ZMovLbY+56hFFdwzJittRthlSEzzKxtb1NeEwwa1wLSpy2
xz+K3QuOGYUbj0Bkr/S/Jq0xb4+u8TYXuK8FRkk2k94QM+wmUDRtZe+8Mf2kRcm00nAcOYWZkW0o
kJKgn3VtH9m8pxXJiKfJjf2t67DISmyTTxpU0IAYFHbitGAQyeYgZhpiZe38OEeVqJEDHYpxCABz
ncDtdBPyPRHctdE2h9FpUcWUEMBUUuhAc7aJYUfEphgJNreRR6e5mb8Le+MmNn1vNwtyhWXHZkIS
9RAA7eEiOPARxl7wFrmy2hceO1jhQhl625sMn7j4t5cWTvvALEEjNamLr+2GJdHY1o0xLXhnqBF4
QX/OsTOymGolcfFA5JJVsIPiWi9PyrHUuXezV9osbs3EG/B2rx3fztZZwZ9EvkPaUklKpaW6dq15
Nlvg0mC5eABfG5Tza1is+c4L69fa5T8XfbrhpSccPGE/sbQ82Yqm+eyhTdxg4Y1MunYfisqqNpkW
X2tjf3arLl2ZYIzHKVGgChop2AKMZ0KtmY3gEqUiKmyNmScG9YsNk0NF4Gx8T7SYA81N+slIK7Wm
sfPBCHXj3o7g+bfeKNPLCYLuMcGSkThxPYQLDtXe6jcLCWcVV0l3jQW5A4ZM8ckoroGcnBI6hk6U
8MSm3dAuS4GbQq0dZdg/w8atXkC7P1uJXvWryFTZq1eb2kzuqwZVK+DFGPew7KotVG7lSzQ3eM7L
FHVQkVqDto44itaG8MJLf6xmbZub5dieiWjxXIIhrbbYd9PcaY8T6s0gBrzOT2Hsm92qaXLhBMRu
18nZHhxjwtwLWOi2xMLoGLvObxgEC0PgXV1jOTSMkCF0vDneG4HkPp4++D71ezeZ6ELm+DXJOFzM
0rvvm8pkWfHWWQkr/bsS8Nuk/Hvmwns2AfUU+AyTGtpp3cUm4Edo358sY/I72e/F+LbZ8Q6aSfZS
jlpGR5q9/vpq74kEb1db7GUMC8dU2B8/Xm0e8VEk1Lbf5xMLZKkEyGrTNlhO6v8iOV8ZOL9pAgws
q38J5Zy/jP/vCVHg9y3At1/6Xw/g2ZTq38p8SIX/6wH8P1yH4ptO1Vnsgr7vAaD0IJKnJndcYeJn
Q+fwDcuhB7Bwelgcg3EVA8+x/0kP8NMawn4TJIkITmzZMQ16t4bE4NSDrkfVAeUNrmNZGdlXZjPK
M/ao//jt4Fq0LDr3wsdy9j19aGh1tAqeKA8uA5/zPEzinPam/zBxB051PfubX78fP+0CAFO6ZWDs
71rGMmj+8f1oNEJppKdzvQK1z2rUSaxYpWoW505Z5gGzfgc0RXkCm9fE+M0W9CPrj/4NKyQdRhFo
Gxv6T5bOQMutqrClO8xN170QnY1KNIdXfZrErG5VOPsPoaH/7iv/tAFxVe4WuxDjJewyF+Duu4au
a7u0GakmD00h1HWWx90LfiRLaHXSqOtIn/7xBRcik87lWL06Xenygb67YEoxAbW+8fexFlYXX6GC
uPPh8ZoaFI3Befr1MxU/3VcaVdPxoKxj2sMEyPrxghP0lzkKFweGStUM8QmqNq7mmXIU4jvu7vSa
iYA7XVqLEZO4BUQqH0qsa0mEczLqIMaX7m03GQx+Gtz7kJbLuIUn4KvHyfB+swpwV+Pz/HgU2UKw
QbMESTEx3rM/y4KsgJQB1952UX3eawUB3xdtlOsYYlYgRzipiPGIOn3KF22xDeENEvmtBql7j5WL
4xw5psxDgYLtOTLxTFvFTs5aYoSL4TwWA2dICmCWg27kuMo1gzgXBko/FIf2LNa90S41SZPgdDHR
0mylrcQZ5jcQS+/q8AvQwd6KzlHXYeJjTzE3Q2V/8gZTTvinzmrY4PBlpBeNaatrh13CWWPqlJEK
pg/axzQnF/u2blDfHMjmxKMdVvikwWWDKSPEl2UICqYrkiRVl53lD9aNKqfxVOpxvnTeiAMGH8YY
U1w2AoKveU/V0CoqK/gKPsNpL1BhLZ/61JBPc6ObBwdPyjpQwyCfvMIcAA5aYkH8emb7UgiboPk0
9jNKb3IWqTqMFbHq8slcche1WhP3dkfdnMyJ/Ux6hkGg9eSrJweCew8tSzDbbOn5bsEN+KYyg2eH
ozoXxBYmfADbYHTae6P9nPfcR28euG8NLEXy66bbmZHGw1jP9rOjOeoW6py/AVWzze1EseYFvqIn
WLX0JLdf12qcMuIPYjMZ+8skU+1LnjJCXVk2X9aY8NfftSNxGIGGx0V89MlCLw44HdZFB30batem
w2HkYzxAGPQk++m6y3qX9N3JYp0wdraeq9aTT3GEPCaqC//kT43/IHOEgiurTFgZmNRpgYXQ/qKB
M49/rqzUdd9PclxTpnFLebvlk1IpWHhUZTOOl6S2MAeIhYkoLoVEgm8J33VEhrDyoqrZv91/ym0b
qbhnIZZzUcF4WtwGNdko57efQU0Df2bSU/aNOd5rfNeb2O2G9RiBmCHUZQHHy+vhYEss9xhmhOEF
Khqd0Uo7Yh5UK8+/NZm30ini+kJmPNmsenruaqeV9oq4XUPdwSTQUV6ElQqHLcrXaRUyMGD0kSdC
P4yicwe6Q4S48bFF1q/tJr1PR8ZT2hTewvW3SRRGAi0BbogYOBn4Hz5BwBhfBhT5dHJpOyfX48Qg
+2PL7Y93bVkOu9YgemE161kFN2hA6UuA8goveJv73N5LM4xxgQXhD0t/wrQ/D4ihUAdAfGtLLLp5
tjEQCiAE0TdO6qKLKnXv4N4bxDJEXIMr9JluxwkgjovHVjfqtcTAfQVcKK40J+5ux7huI0bKg/1n
x+TbYn21I5lofqIuBiyV9sRERsUKYV+Fcrmazx7k0xeI+eIM39U9QrZyzlIv/RBxpTWdSDcueOBK
Q7Y1YyuwY5LQvfgJkoY1IvMoWbO4/aMV4nW/RsCKw5Rw3fDBLPE2XwvN+kBSEjSMpn4uBY4Jac74
c1/jvTrwgyaLDoUiS2rK7PYlFvzLin1Z3XLMsZaNsIwTQm9DTumFzDq1nXyyRec/FFPMyMuNvAJa
2zCo2xnc+WEhlZ2lJeTT1C48f/IUnlXlRQ+p7bBhVkZ2n6LQ/Jg2dGSBP9mkcuiIEhJGpQdP+gtm
7YcIOUevundQ7MxJCk+BrwFeaBaefbTx8/I/zq0UfxaNps2HGQa/dzBR0phjIGSrYGOQJ3B0DNP8
NEeD7WxQrh7/5yrRtGl8iDz/3o3j+v/HWQJDe/eOHiRzkb6PB9vstWFtjrUIvreYKI3ySvWG6rf4
ehKp86PXhDUZNQp4uuFvXhOlq1mfMOTg5yUnVvMB43Mj/OR7Y9Ks6lqG1Xb2KhBiI8p6sBG88k4A
oT23riCIdu7s6HFyvWqfWKV35cYmg1reKsghEvrhhJzrCf9+ahHZ2d7JHBMtYKDHY8U3vQFYbi02
C5z2gQq9djpMZuqdsfTiWEChDzMnd9oXPU/9kx3abG+ZM7No6p6V0ka6t8Zgc1lKPcxl+tRKnIki
Yi+t3yLZU5+/M2D+sHO62D+1I48myMn/QMXWQ2leuR7e0om0+A9xBgC/Umbkn5xcYkoWGRn7fTM0
+yke2AcHO2rJArUd74Q3CeFWmHLlq5TDpAgY98MbN7m8Y48MFtyJc7xquLAZztbzPMGLDt62QDfu
EUrjz7os/VHP42sCCBkIIuK1TmPf6zvcs+dh1RDG/FKaTPVWwmw4+Y25tp/dnPOxRUkyrgs7yZs1
/vI5gbI4G1ExTPQ1u68fSxDWBukgTqkkYJByfLkNu32dN82eMHl13Q3UvjA//Y0gGXs6GmDFJVNH
yKzqEpNsMol1cLynEapJfGXYA586KSTfFQIplwSondxbC4Vmy2nhQFcpsICP6gwlEfgBlu6Rspxj
n2E+A0RlT3chkN6TEws21qnR0tMoG9Ctv3YXscCFW/ZFV9zllQYE3cfaK/EoPp4uI3M8PjNVTqK5
/oOhRpaFlzec5LXfiXtUdRxPUaPKbNu4VkZqqkqWO4rCC68qe+JY76Vnc2A2bFV34fJE0xTzo7kv
WHE5fh9nrOPpGjpj1pmC2LDW8Cfw7FB/ENqERI37RGl5h1xJ6+8GR+WODJIxjmLvNs+Y8nJUSfxF
EJFG9ZRspyzRIoGbBtUywDfqRkyuKDdy5mybBFefLAjzIlkzPEb4D29/h1qcGsQ1Yv0I6z4+oz4e
Anzwid7DfWmtLNs/5uksL3n89W3lsbNkQ6w9Ks1PjhomGhhBxRw9BPPsI5QlEH5gQOf9aPM9aoeg
Y0SyuutjKNCGAa6JN5HHlm42UQ+YDyrUkBYFdKuI5sZmHuQ3F7clhmsgL2wSK9S4CSbzVCSdU2Sv
2LnbcNKrcO/PVQHSWw9MjCrymNkVXsumftXy6cpX1nhgXVMY9LV+xchEv7KLaVgP0H+cdir2CnB/
Q20c3kGVm7YphyjQa4xHAb6ylt5ZlzCgyxueNudyqfIjJ1+xI+dXA38yu8ArnE3k55d9Bthicquu
dCjGHySjuKemMsxzNRQp3J5Ip4BU9S73czy9B+Sh4pbKD/UpGNGr7YQ2IDPiXdgHhKBgOVEiEg29
vZbOX+za4YFY6MoIJbSZLWO3ukRbUxEMMtA4gdvVBGmRHSRG9YDLV89u2KXVRV8b2gHLGkg2bZaz
SIuY3SZxGlbkPIQ8+1DlcNmnjIjJYKDs/jrQ+VsK59Il/dCVeAwiXNNmsCAYQbxv++fBSH1OPLmX
9lvRPyA6XBGOrW5/3a791P14BMAyqIDfpeMU/N6vFj+2jpF9J/c5HIhk1buuuK/bRoP9hUPkhbMY
SBzftsNfX/en1p/rAq4uqifTwrXzXZdIS56bTFXlHqK989xpRbMvWpVDzSJUkrTsopxuHSdmL66H
pcr99dV/9ESm9+d/wKoWo0eHD/HeJ3RqU6Yn2MDsCUahAcEMybgnILO6SN2W3b6LJP/UZUNbslTe
wLNs7m8f4V/u9e8mdsDmPI6/x+3PXz41z2R7/TCx+/pL3yZ2vv2HSf4ZmzdHOKXo8ve+ifCwXAab
Z2GhTPs6evsvaA/DWjcRVzowAFwmfgxC/juw+ycDOuM92Zr3htmcQMRHGqyDx/K7tZxT3NGaxcPJ
RLswxJdz1hiGQ0abVadTeRrcxJpg0CZDSJJPr3n1Co+I8d72Goh3cxfe5QWSWoRXpnHZiNS5Mqgi
TgpDe8QpuQbQhyPPsDLMRtvikdU/MscvqMHw2VwPBh4pyEWSs6E8bDDsBtM7wnwAe0gnCmzK53NH
cAjeiww09MErcG7TS0qZsb/1SweBSzJFGZ39OIKmNF6/Uo1TPiLKCh96PdbgCXuVf5vHXnHbGN0D
Ne18aD2hKBvd6NohWO8Wj+3mVkVmuDV9Pv5Mo7HRRrM7LkcrkCK2jYMj1MaKF9w2gVt6j9e4enbd
ot4nbQVAgr2HuqaGba9JxYo/1kXWT1jWIpMicQ0acUx94QJd3drKSTeDvkhsNL1UpyYajZNXtx+o
dDn9GPXguYEVqBHoppzvsRDIAl2oT5lSDQcN1gp7+LvJqSZbPlvsNNs/UZOPMXaeU/gBAUZxRhUU
bzG5mCEPWWwP8WRGa2RhbpASiLNgzlpybfhtugd3uxqzFE1aqrL1HNtp0KIZ2OtjNZ5UXPYnIKnk
HIsCdl9XjNMdJU2/BbrJgs7JjCs2nXZPnV9eurU+nqy2nPboTs3nlEjKIxrx7o5RW64Czs1sUxoS
V6AmNiAjSKu/nEWtb5EqamtUY+WNBlB4101W9wSnJH+djFa/N4Yet9xMlVdQ9DUiINxtZOvdI/dK
TgGGNv41hkPFo9kkw1Z45NiXnUEoS5nh2Yb97kYzG/VC8iSUQqLuT+R8qQC4dOH1sXBoOzXf/2ya
KRLpuhFA6NoM4SDgdATSc8r4pmQogJURuvoNZj/zqtBRxnltPK8YQj8PxuBdlJzBO8u05dnCTAG7
LIoMACIGLy10SSUIx9sMmp+e5EwsYh5Jb68PTv6F3Pv0Wpc+2GkWzVeZnUpJmR9qn73K9ArAuBb/
4np0csgtLtT4MnFc9q8Y/lpGGgpWOek61XL7MRGF/hFTLXXCtUuny2mZ96A6A9GW9XDTIOx6qnMM
eOjHpLqQdhLd+1ZmX3lIsBpPRrthcMvrRG+7WwObtw1+hR1uacOcFazJ0l3ZFV7qiKmUvXbaDtPp
diw1OhpcOA9mmkKa90VzsCHKMqWpye2mwqhVv3KasHhgG5HXUwkBvURpRvBEQTEKm+aSEUM57vpB
ysAlEmXTUHJeEdgQXTWxZSxUFPPPHEpwtuLdVh/bkHCJxYZhunOczIywH8m1zYwpzZ5Kqjj2M54C
hBdCWggGrbaHLYY5+lUawtMOSLTKirOW0aq7guxUZBVVKAOrrkN2kkTOa3RLLzl6ao+pb6EuzRn7
IB6NnVAakpP1EA0tA7dUUNJATI4UjkSCGm9Oy9rYUsDOxUp6Ut0YuS4+Nm1YItvDnksSI+7g7km3
QwKlosE1o6JXxrbBCZN8kGicHC/aKCi8+l2I1+bkfIjcQna3nRn3cKdww07K48ykTJuDzksLJdcW
ZcV416Qq8j5bUUYaZxC7uT7aH4ohHWt340lby7Za33fpy+RKKbId2EnTcHBxuP1bB/ymDrDBB35V
BgTPOYyupkx+KAS+/ta3OkAI6w+wFE7fJfB80Vr9rw4wrD8sfUHnLITYPgGKP7D3BG7qHkb7PmGD
C8r1HxWW8QdAm2e5nu4xu/qH7L13bvQLXucIqncqDhPdv2Et0N530As8dTYPxh9nmFyEno940qwq
k1C0IHPH4QZZ8HRMFfTmja5nHUoHa/hANwSruvXL+uN3d+8vkO/3uMzyaSwd8ZmLFzLkxQU2/f7T
IJKUmc/rAPWvFOcIpIXxoVthracGSByrYbT6J3egf141hUefQ+wJVTARaq4VeL5bvvhdp1/xN2Is
pvJcfICs54nd5NjhF0GCm9r++hMb73qgt0/MaU+ljtoUn4F38KCVYBJIxFB3JqMwitYOSYsfBvA8
c4u6AtLxwEQ1XSewx2ELOZgUTZlu7oqhYc4OSNK9QH9uBb24tNfMuSp8yYqYyZHb2BnhZVUaX2e9
fyxaH9owNaX/0Mb1BamMDBySVnMuk4Zx0u7X3+pdw8WXci3G3jwICFdwTt8Viy7YC8a1eXsG3fQf
qghOKjRDJA4rCYXzelSNfydDkT/++rLvYGTm7HRu8BF8g7XIP5aP9d1aZPOMLNlG5bn0gFfJnOvP
WOmT4hfGD7++0rvO7u1K4GhAuli+UGm/W2eytKa5xuX27EndeiZ0lOlW2HmTscpkvNFr4tACU59g
gmGJPRa/WzTLoviucebyLBTDNiwAT4fd4d3lXddMsHLBLGEhXhNe39vPWb58BoIQ2w1WXNVqoq6M
d2Nev4ngKvcLXn5kWEIOgbCEGx8stBSf3dTFjtNspIGK3ZumL5KhwRqEvCB5EDPsZm+bztx/bQv/
tu9/bz6xfH4YI4YgmAMFqWuxp33/oHSnt0ubEuZS9GHxnGBhRVGrZR3aEWSHZXQc4yT7xGwa1/O5
Jh4Me50kQOrivnYo3qtgiiMXM6R0+JI0pvsy2Mgejr9+xJb900NGvsoiopZlb+XtfOfK4TTowJq4
My9T5oqh7607P5531Iamv+3Q0Af4Nuk3QzHZ/QrjT5ROogR3aeQutyRZ7Xld3MrcLhQ8rzH6OKZF
dQA4oHWxa/kBx2pvHZJ5hfsEklPCj01wyDBty/MotRZLMyRAEYp+gNMZQXpAyVVQwXT5rZFG18gl
TLXKe7c+d2F936EuNxkdQY4VyWSwN1j9PK/00UtPeWx7T6GOj2rseOI0Y0TkB6Me4yfFoktQPQJ5
rsbJm9ditLX1nKrPsq27u57ArUUD2rlIu+se2aRh3NexGMmCdan5V4iNGM2jhcFMtKy1P/sCR3sp
W8y6sDY/iNrPX5JBOrz3ZpHdAe0qdzXg4nRswqYPEHpIfLUM/6oe8czGPareCqEELGGI51hnj8SJ
BoMRh5uiNYE8pX+FqC+Cliuqbs9RY4wBsYjMWzs3f1SFHl8YjS/vqEvtXe+nmgFZr5ifPadqNogt
03kLPTPaathbPdNwjq+EkUgbumYHdldGxhBtFaMxXo5x3EzR0HvbpgqXibZZ7MHvyRFwrAbzhAEv
+1WK3FfDoXBEv1/Zal5ZXR7CU9XKYtfA9oss+Hc3I30+0syG3IqUldRtzW70W/RGLoU4Vn55SExS
3RXFCl9kbKdf4jA2jPmpHTXlYuPnQ4vMqs/GVKSd2eAq2vdSP3dZBzsOm8h63hFk0oUkQiTM8FIj
r+50po+HdDKZLPU8gxBrZH2hm8a4jNNGhZyHuJiM9cbJxkgPmrwT4RVkRgeP/2xymSFOKve7E0W8
yYoaQ4RqI4RPW9s6WpyGVwOvjhMFNaJMFpyZtcUWOLPxV9hfYX64UXAqcRrwhY8zV0jKG7EvIaBF
7PdjiDLRhSXQhlQFWyRHxRx4M3hWUBqodYMiXiZzQwvtEGxBIz2tihLvVeuZMUCproyOGAyv9842
XtzhsTTdzqUnLVVbz9O+1dndsI2OYpcAvHYAK4aEWDL0zp1i2oPTw5RFcgDw76KJyXcN8bca7H/L
+KjJgjE+xqwZhMys0LUr4FoNFKIry49gz35xMBu/gywcd84t9GcTm3tMLcVFPMYtjHw3NuJuB31e
lnccxuYRjzEj2/aST7CpOmjvG4YKM2rIFGz7svBIsthovCoNGSmiP0JvsPN1FJpRv7BfeZzJ26yu
nFNz/oLvjI/8lA9QrM2J6OuD0BNrHyUYWkJLh827TqokXM99mNHDjY30SQoeUyswiXejKSW1Srtg
BmxthQzx8oex68qNmIizPcSJGKMNQG08EoCKcesiE8dRp45MeA7AZPOqU4n2Z4Nz3kQmJe+RcYbR
C4dh5Q2WZt5P+Wj0Z0f6iMlLOuFLuy85kiLCh/gFHztbc0tssyif8CQG7K6hO6ttO9pzciG6qLu3
UgM6hApBOjx49yYRlgqleevMACVYhS5giFlnbYBJ2yYhtvgpH0cqizRKh7vWdsZPsonN/eCOUQhf
xGaYXHohf8fOK4Kr31gpuECb1s0bw0V0eP0Cb5CNjRR9AuUdjCJN9g1m2gjvXVjXV2+QTqnXy+JM
07oFDWuZiCvmD16g1yO1YzyWfLCKjkxccIL5D1DAWN0Fu2Sz9oSvqkPX+qFxnTbkW9waHhTVg7JS
yBad6pbiE7n1tZ3B1dhUaD/HQ1XN4EPKKLqZiAZ3+fILoWZkf+JzYfEI9F7yLfoaxTBAIYSIwM8G
Xh2Zo+u7KUl1xr68pyr4SpYQRlfGV/TbE66Dpox1HvfYqP6ygAnCrErvayYQOpO/zTTUAFf8O0Yi
fCM2EMV8hjq5KwuoYqZ/JEst8RAM2BnrYoqc57FkxMBADWsgs1N6ewEOClWnkiR83XmcFhASdHGu
/ah+skAB6hWhiYlxBA73+4sQE5RhPTVuDVuBCLedNLitaNjq6XOWZ/a16lsMVhlcDdnH0Smido9x
efE6zf6yh6A2i9f0AR6iYGOKAemcwv+o6WGxLUYZwaW22OamZoxvE/KHLqAUp/baNhqDRMrctjiO
YgNwN9WGaJMbJa/JrIWmf7DKStRfCjbkCZ0RS2ozLjv2JrWhD24xPx42HDJjfSGa3nBgfOfdwElr
Djqld53+2fiDf69NlOnH2e8a8ULAzNSuCiHcgfwKtB8bVYgllmQkN+wgeSxodrFOJGB9GLpLNbnY
+g64Q3luu7cK7AX387jEDWXkeM04P2RVdVk6yjoxEoMJHtdlMVxEJITHgWe3RXxPJQJWvUwtUMEm
7bDK4nbEsHUcvJpTYKrvMMkQyaOogDeHFbEY2fQBDr3m88eQyCPyxrHyqIVy/BRHDBRJZUYvc0gQ
m90gugznXQNJJtkkc88iTYwuNa8VAk37XDhyscxHA+NcWiImCwggfWw3KB94aqMH6wdvbxdozmvb
fCOUqZr1kGMSs4O+xOrPLBW56ymckKMjS3Tqj6M9ifs0blhrnHQLfygq2uvSLwUbrCF9cmmL2BlX
qn8ykM56An+nwf0AHg5DZCRlzCL0JPeG2zpsQfqniBW9kYnJ06RxmNQpMbsMP6xGxuY1+RC5cwjV
4vycKKVFl1mjLSh3i9E2nJmi7y5znDpoI0n63baxl8XrUen6Yaot3vsJTjgMKiZRl29V6b+TlN9M
UgQkS+rvv0dUTlWftMlz+fw9pPLtt76NUjAvZKxMQB1Oo5ZLCAi81G+QCoY2+jIRsZmZiG8ayf8Y
2oCpAIcQtedBkaZNp6v8Nkox+IM+QUc+pseozP6hr6H5bhRA6CMDFNMStgvQ4tLd/dgVYcQ39rg1
MyAtQ9dbU1uKWz2u50u2XGR3NSkgRLy4+qdWc0NYO35zmIoyPMKrDI9tYwyBm7sCq3Cn3GEzjlQN
rX2BCVmm3XuyoP2Pmenij4DOR8SpuhK4Pn1JGzRTKo7yB2zdkfIVSHuiuAgvKx2P6HVpuKRA1IR+
iEhvxl2H1fsybHTuelr538S4Ak9939dyByx46GBeiw+iATD84x1IJ4+RBnPeg2ogDkOq9XfRhCzT
6Lrle/G5v1sifzEvejcweLse7QngLFiaCzj84/UMTTAyyDJ5eNN6IQz/RLY6xIaQe/DrK72biCxX
ck2Dkdzif4SB5rtvNveOIGLLyQ9jiLTQSNNpBetL2+HTm9wNRm7tJurq3+Def/H16K1dpL8sJg8M
+Mevl+pGOxYldi29sxiH4B2H3ZiODeu6VzZReb/+in91NdtiFIj0xIJt/u5mRgtFqyzSnKp0JOe7
bIp5q5xGjFc9KtlfX0u8m4As99OHOwC+burQ+N9ne6oMJ7Ii05NDHavcDMw4bPN1XeOq4jVYV8dT
rK76phensc2G/Zy72F0kLXLHX3+On7+zzaR/mTaCtyJ6fPdYc5ztpqI300PdZ0W8Vu2E+XAUhve+
IxFd/fpiP68hG8crMpI9EADoyO9GhdCNkNM2TnqQYp5v3lS8ncYbLGP5f+ydWXOkSLptfxFl4IA7
vAYxh+YhU9ILphzEPM/8+ruQqs7NVGYrT53ntjZrK+tqBQHh+PB9e6+dhFQWlpRAEpgS5w/X/d1N
Uq4hDVBK8KT6u3mJzJghCgBEH/KhIjlm8TwPZjdAV19SJT6+x3fXem12Yyyhf8LPS6P73bUscgiM
PoSGExlVsIbKThOp1Otp2diY9x9fa/msH6pob411TDGWhUrD+kUggbpQarXGGJqnGfZH4avsmEZm
b6w/vs5SzfrlOrgF4KW9Dlfx82vYoZSvZTFGSDxt4NLjQHV8RZrXQmI07dswitAtjUDVKagQXedv
9CwI3/YN/7Hk9m7sLPdqUDS2eD8VQpv3YwdVdoLqreU79E2wLg22+bCO2Nf4nCQhRTlUj5EC/WE+
f9WYvLt1wRSE/oUwcIGI4Odb7wPZF7OvokPIQexzHcvsiFRmuihjyK61WSLxIwVqxMs+sd/z/AGK
JObPfPxmSBLTv5a9mx0TQiH37D+zox/Rv/PnWLv++Bf63fe06Ru4rmJ34MLe+vl70sj0h1lp2h5S
gvwCh9GCkF2lLj8RkFe5z0mEVasp1pTivD4k51jLJ1p01FIOXVJYJ7cFCTZGjnnharJRW9mHRbwG
PUQoy8ff9ddRC2AZLTkR4+xIfvFKsZ9vCypXQOhcHVBnEhDxDt+RzM2Pr/Prm0jziJ8M+w6dIloT
Pz+SSBM8FFhMhwKT5TXxhfRM8qSwT0hk7duPr/V+Omd44lRUDo0qml/Ap989/8lp7MYaY6ZzbG7r
wPH7NfGSnQdeL9mCCaKJOw7TyehG9ahlOaLFwm7/8GAN3V7exJ+Hq2PStyCwnk0BX+fdPad1SQhu
Jfw9VNx6OizJUUga3NEsDwFMm2vNlPqXV191FHVZTUAb3gmPnCjAVBImAJaa3j+6OBcQtLp4e5oq
LtEMkGJD+TrB9Y6ezj+GkAtv5tT0X3p4FYB30/l8TmvYtG5Vy1tVjclRIPI+9cjQsWpkg7ixu0Te
EmGvEyJJETekA9Gt9TLS7mhkz9cTRaOOQI6wv8yg8T+nnJy+QLP1zxuNECiE87n/kjngTI+wTVEo
5H3p7+fGsBriXUMwqqbC3gFvN7EwC0NWfMZTY3zNu8y8H0yzhOPn95nmNaNvvaR9a3EYohIebhrE
nueByZtt2UwtRt1HX7qQyZugZ8h5heaAfc7YNgJ/1p3AGyIXUSeeIms3WGAL1qTfNN8chcU+jyv1
6FRD7dwURsx44+1H1ZgULpcvy1q7dgTVpJXedOpxtnx7PZKEdq6Wv23sgq+BEsjaVNHQIFaFIHvn
FuZ0zjqTfqrAOV++Pl5fDu1G5KF+XZpVmByLWaWApowAhqvQs5BoaDfrNtUcxuUGqy2zVWdMJ0hR
zFCU77SnnJRqPNj6aOjItw3w41HJs5tsJ2oARejhHe0K6zMRouiyRYASyUyEytexxefQ2gjP4bUF
6wZE0Zdad4FD+XU9BTuXmgZFZBLib7HkmPdOTjjQShM824ygmC+ceAVG8MJ6ju2KGikvDSFi2HHm
a5ticeu1Cf46va/Gy2iy+nCtLCN6SiXF4ZGa2ydj0q10Yy7jkFgz/+jgMwnopThtRJqdwQbGyIp5
m/eovTCht/N5MEyLDJSj17RqKaZeZ7am66Qhs88hywl1TcwNUNaIh9n3GgbYRm/C8jmkrLxHZ8/o
hbk5XtUgOZeUHE4M0i60OxkmPDA9sKbzQEvjY+KkG3eGyTbWFmhLLa22bayMfQDnaUMtwvYmraiv
A0BKB52oshPAbMuDM4TuBwXQuWHm8xERr9ybyvbvglZtyHZLnisJ6WHiap7v2+oym9UuiQj7ou0y
7gCBm49oLSh4ksmhF2RDaQk4Z9yEsyc483mGzOstFTyCN0gHTDyeqvhE4M1lRE7NMTaIrw4rczt0
YXF0eUlWodaVS1I4gpyM20J8XXvkdKXrqScqRjTECra29Qih2jwPsuiyHluoGr0JxnJyLI8Fh2pl
Fd0DCIEM1pTilNoAnTrS68sWEUziZgThzUa4CiFIktuFhCZyw5smnL64pXguO63ZxFpmUoGwckT6
vThouvOAHwlOB3a61JtGh1WtIyQ0M60jlR9j1QvkWzIa1okl7/reP5FKETy05K8gEprGY5hmTMDW
skcCLX4hI9M8h5tWXRv4JY4aaffreZZnCTU7h1jiDIGpi+ysEkHzvdKTcsHaE2Sek/lEgFtgxjgN
rcKAJR2osw56q1gVKQ1lmt1ivrdny9yOSM8xlqH8O7WGUdFwsC0qLJL5IlF6el+XU0BwlD7c0iRn
/1A0SycCTeB0nigaZ34mFfzk1vkWZ1F9QBE/HsLKJXebSp15Xgf6jWMPw40apgloJ8m6y/qzIMzL
PvTAlmVXCJhmT/GmpQeLdD2xEgmx5/XEXiSBApInuSSLDEoOUxFWK6LQWBFU4Ko9xpV52zH+1hnb
vK0769aug8JNyBy0xstGbz/BcqvotkXk25JOG3tLrHy8Ri5nxVs7FtlJK5tki3rPvtK7sdlK1QWf
2zgYyEIb1y2Zs0cqyDoRY3gmngCkNj4QZ4H5oWeeBINQh0ezYt++EoPT7Oc+Y2DG7B04IqQaqLxa
YdAj5bxw7C2pyv0jhGnnpbXgU69kbog7kdnq8zjAGdnpNh0S2NRgeYqO/Vg+VnuC692LUavkdZ02
kFULmDRaW6k9J2h3747UnFel0dXfS3g2GyAu07GilUqCrH7u+vWQepZrnOEbyNnC5GrXqdS9JkIQ
H4Bv+iaH/zi0KFPUxp0WAdo26F8f+VHd29Hu5jWLMBG5udZbX8dZb64JLaNqQNTm2ikqArDxVPsy
zvF20OjYDYpEdem0PaXHyLpPpqa4CtrGJEjbiA84RsU5TxC/AVkAVe8bu962Gdhufi4pH3g+oVE4
F1N7b1fKPCN8E/JtOdt4NSpjjWul2KU6AWDp3DjPXcstMdHQuGyGyPQIAMKbQIqnswvh6KYgjyCS
BI0ffCLs1bzodKe4hH7Ptt81C7kqGy3ON1OiFRYQ4T7dpUmuHvHaUcQpquA0aljz1r5vpQfYktP3
luP4WWsO3XVrkbNGfd/tGyrJOWu65Q61lxe9fcGJvdwRqao4ABjFMTWmlrerLc/pSqdETNjtpdOM
494En+56kevsMzKKDlRqtVVv+M6pqIg/jbvc2RE7nn1J8kqRoFW61WdS5qutlKBzXDuLQCwBWzlo
XU4tKU7rT6opn1C9jyAKCyv1XHsWqdf4c/+sY3Si46012iEoF+i8Y+gtPsScKPR47k7ET4P8LeIN
v3hEHqz4OmhQQqOuBHiOMLrZ5EEwnSu3K74g1uuP8xgTQ+SyBlahCbnSnvw1CK/2ytD75gtKH+bs
Nzqd7yL7ab3+jVxH83fh2NECdKyVbuVj+BJqBFu1EZpkXuw255jUai+VDPPz0S7FRTTY3T1xwv0X
q46cx6CDQ7oCwa+l61GfHTxFNt0tlRG3kOV7TVo4mgR8zk0m+89Ti1xWT0hdwpmZGmR8wxOKhoQ8
UfobF0j7CAhNYZ6YovIPNgB4MqmtdtxbeayfW0OUrmnesmYUgihAL+068sWZnIiZMOJq3Bs+mFkD
IhDhfpYomM6mObh1zFhMHjkEHcFZtMo9g+oQ4xL7mRc0s3aHglLfuknB78aisCMXtz2WKLG/lpyN
OGGAJcq1jKeALuKJmFGGMhUlHeZTSeaoEvW4l7rpf5psYT5rotRehOyGM9+ZgjubDqZnFHzsaI3u
vZFHSL07u37ySytiO6m7Ho2EezbG/gYggk5Xq7qR5idor/lqmplesaMwqLJPMCp18iy0G1yzsHBV
PtMrcrbWrEkyGtuJQDM9owmwqJ0wNgLtxHvrcMZe0TIrMD9HX5IUb6yncU6GakY2JNlSewEIctvJ
4TuCNnfHWZ6wsFq42wQli5dk8iga9OVG1BurzO62tK4CD2K5tiafkAU6HsnHtjPwq8YzEkzs8YST
78QEGyDLaDJbbTTeVlKEnuic4DzO+xeUreYKNSj5sT2Z6SAo9U1DNQvq5JTuXZ3ygBj7ife57nZl
2OqwQBH6csZn1WEjdLS6guAmBAB0utrmTG/H+CxBsp7IgN08Gy6PQzXhscN4OUgyyOjCyL1dV6Gn
Z73D0QTgbkfmhWAreDUajY4OPy63Ttt8b2ut2JRaMe8MCdwuq9ynetKybT2V8tSW1A7mQD/Q0Lnu
TO05ktYWkQRSduDjedYcM616HLL5skv8Y1vI+7L2z5lyKRghXz/h53+Jq+ATwsUbRZhMyW6a7mr6
7OrRsMNXgJ2W6HqID403YwBbu5ph3xfIC0hGF1/oR7Kx0gIm+VAcUtxKa1ww27grT2OoCKQJ5Nes
d8uVyKhqEz7AiSDAyfiZCJiv6BIOMu7EtlJpNHiTOwWfdSRjREjWTnK06pI48Ak9bxGZO2Pe9FX0
QM5bsyfn6Myu7nWn7+4qp6JD1kS3sBTCvRrQuddV3z1oonY249C3+54zzFlH3DvNZGKdNWfSjzay
9AfZWPkuyirprBtasIeokpRHh3g5Tig3HHcFSbcbPaoTi34cCRxtb2v1NszGG1tI9xsKjUk7Iq2j
oLNK3MbRd6IXg3lqnQx7+qoKQQGkNP74PFEl8fNE0XmgcGH47YEUDUa0GpKyXlHVtGKyOuOUrIgG
p+oqYT+0V2antAvC+VSEq5pIarJ9KZrKZuDImYDTotnpPzpIiV8aGHaMbtp32cr2scCxFeEgtRZO
wbEoYNh364LphTrT0tOYiCZ+JLhGIz614oxRCPuE5XW8qFjjPjmVP53DHOaUHCkNmH4l9YtYs6N+
07oTx45OMS0NTWyS8rmcTgzyZ7/HsxguYzkZZ7oBSM0IsDuHyeA/4qanyB0QInVjNHa7kTaSDOpd
vf6lKAZpn7dhvxx53ZbgldAum89V3rN1SDWp70oMrgf29nw0FjzwhwUHdOJLAoLADcX5apDtk0wz
sY5qtn8r8FZAw+bFRgzHoSRhe2bJPwgIbx5Edv9ohjZFgYZDvtMpagRLp+b1ev1CV5wKWR9gwNCz
SYDYIznMHl7/L66TiRtdcuwvVOzulG3Pe6KNyucmazmDjbWgSuCYw+Uws+3ROGzS65lzeQt/aVpk
nSSyhm21fS0UlynkTIEFfd0lwBZxd5b6KopIKQGO7x+zcMApPrf5TmZ28xkrPTcQxXwi88h83VB4
ucLgazzgLeRXJ52c74yM81DbOYSXkf0upDmyl5JuJmoVujQUDO7LyqiFlzbHvmrJ58OqE1c7tmqc
7bsuVfR8E39IVtFMVYTiJZNBh6DDx+q7RihsV9Bw9Sxj/OuzdgYnu3ym+BehioipKDrzCW1UI1bg
1doIV69P/GIezISYJgP25bRq9QsbSdupiGc6ZLNN8cqfk+PruNNwxGz7mF/AnIlzSQk6vQ7bBnRl
P2rL94N08KLlVNfg7FvzddotzyTt6LJhXLjmtxovyLPnsVGk9LD6z+fA8/JdsZTiSJmez9XkD5ev
BKMCqy+MakZAa+l8NgQSPjCN5W2APXzjhlgryxQ8YasAOo650h8ynT9Jcqs+vGLwyAjnaRlySQoi
zms67/mgzTTXrr2uBk1/wMhsxeukTdxd1DDuQ43tNaADfOivhSdDE/7LbFgUlWJGkzlzyXjUimdK
ieSls5z3wMRH48yFGnbsQ7949kN9vFo8X+VKg4hwsMyO3iRJ3YQZGMVzopr24FajZq6mpl8ilurU
x5W7RGGucoFUAW9KkLAD9od8hwxBnHFuqT+35LZhZNXT5Eju1nzeN4W4GRL4da8vrGiS8Fs2Z+Uz
2GMujf6jP6aklB9aSq4QIxww1nDmvUCnItdW/J1LpCjCP+dLZzcQ34yIo0dbfs11B1oizbxd09dQ
DVt+nbb1edlH3kC/m1wqFrm7a2sgkgEZTucmJfDzElTLY43cAF2gnI1TShLtZW5KH+aCyTdvOfnY
65zpcKfjzwNlWAOpspdRMJSU5mwcNcMKC11PCk7LmXBwO0aJmvUvgR6Xz7QitYKo8JJ3uqhtf11w
Ot12OvMjJusciCUowpkDwYsilypbcpIYgzUCGE/ZpX+MArEopExi77SFkqoQiESeI8P+uyM5J3sc
MMaHpojGp3GB2K8aNuQ1pdQy2IRsK1gZy5hMoqbPL8Kh7e4iVKLfyt7yX6JidI+9HaYEWw6sTFY0
VNvJVhMWqJwR0LuV/xhL2yZrtzZrf60KCtxr+ATF9FZ+/q/Q4Q9CByWX3vB/1jkgyS3q52/FjzKH
t7/5xzCiQ25G4UDaovmmZfgflYOhuxhHpQWdy8JwQPv0/xtGDFBvdNxxcyB2xmtCO+Afw4j8i4Yc
IB/JEmPSJXf/jZPUete5pZVA0xZJNeV1ajbIJ37uK1BgLXVfQ4hIsnEVw811XWfqHmoITHl9jPVM
YbtLAJqF8Y4Zhuy3MxOp17DBBWXZCglEMVllcFwythPzPNcwA0jgpOBdeLsW8kLU7Lokbkd/lziR
HUVndjD0mPZm/le/2/voi1zrnl4ckCRQAh02q/DM6DNSkpMV3DINKrSGGKuXoPmPJlYHRFfmkIJA
JWur1x9FXvutV8iWKtRtXM0IOzaOFQzqGhh9F7qXUQSVlphw7PZQR7XMQwoJlCrt6lmbVmzhICwE
mOWolr2Ohf++NX94awTd6Q9fm/PoaxgFz/mPr83ff/SPOkj8ZTHKFUMd+8rP6iBgh/TbXIbr/3ix
/8GkO38RUa8L0On0fsyfHNfGXyBelz6StaDV8V7+m/fmvbWJndwSEEr7ESUHepX3ChLW2bGt0obo
agi3KDJ76sfjvrZxlbJQ5zID4j9lmFcTQxvuoxH0HBuxkL1+40JtUxHFJ2MN7MoEN2UTwTbVK7Ig
rfgUiKWZAG4IMSoVtLr5Q2NtEUH80FWjaMIXdni06D5tDv/vRBJO01HMref6BOdivDHCXPPsAYLO
1CsdyvIC/PphRrx6++gfAai0ln+5pIVUQlnwLHFP8cx+nmS0KDVLjdyiE4qGM7ZOWuwRULfgaCwL
cyl5I1q1B/JUPrqAf6rR66xeWXtIKb2/tQNStw90rVns517xVHKyseadaLFvI11Ek1wsNqYQLddd
Kgxkupafw1VoDESTAftKkFKJX8tVVdNq84hUQOgeDDnPWpMgoqj9OgBsIbS1eQnrLa4cLuWGPhrU
WvnIid+QDW/aZMkvUnlZ23QdNgxtop8RibvaMBkEg5naz7VJPOFkaaga57Y0MM0XwCQUyGZEq5GL
dPWVrIfhA0JPFQbizjC0RbD5qi1v6rh6BE0Cm00OfI1RRM64MW1RPop+QFosOUmGl2OYsTN/JVVN
9B/G+7qyQ7TflUaAmIhDozmJwlLiYk6otlKvnmT5IMwOoXdbN4y/gAMQhmdl9zdznYs7zUzF+JkN
Ew01U7Q8uahB1kOOTIFkui4JUPX6GjWp50uNS6flgucqO2rvGxHDk/SwBrHpBKOFx42qJlAirJY0
sSy8+JEXJ7n9TH8Lhz/5Ap/+BsYN1MXWVSSvQ7KcKB01FQ+Jtg6/grTatnlAzt2Xe4J38R3wHJn6
7WjZ9UX0pAZiPNtqvp2Aysxej0HLOAX07MLjvPwkiu4jG+II98AAfOnkEkYOFShtNQVPpR/OQ9pZ
15qjhyMAUF5eUIyGg2opMjgxUGAhD9xdGKG1VINaF8jCQKITnZlSZo6p04zTnWxFe6FRwFNeFvtQ
ZWa7K56DuLXPJ8TYn7ReoRTvy/TKNJPgWQxWtKedZjleJHL1nAdJ/7k0qVdt0e4X+BbY4veULJas
3IEnnqU+VVIxSuyBNiWJT8RlNe21oP0v1zYy4nnV14rHO0SZrC8pOsEVbOxAww6fdZWJ9moCJDKb
mKEtjYptRidgFZl0j17gaXfARmi2xS+088H1ZTqSXpnixSgCxkjDKQQ/fEE25iSWXz5NaDCAUB/4
bUn/RDo8q6J85MnwcnG24aVMygJHSaPTL3l4ZSbi4uRF0GbFA44EtbhdAtfoZIOCLLGbN/WetLwi
2ca+GK/w41e0JWfkv2be8ehVAZF/Q2UDIbjB2+Zu3qiDJEWz6aZiWZzY+Yv6DuOOpn3SOjVXZ62o
tfpqGl2+STqZTL8zGAT3PrL0LLkhUL7ej5lWVxDJwbvNHP5QW08LEBUqK89y1Ac02q4b8CBKHUoM
OmWsEeCNeHvKCqWk9zqQk1HjhysWKicOpOWlaGvYyyvgE8yhuVWIu6jTDE5cpE3IhzF1OoGv3WWi
cALC8b4qEyxdKB34Ys5SAqDfGcTjnqydGsW6UQ8BhesuaL+ZvtMmn2tmCAPrrD/b9SW0GjJfVmOA
rWejiD+uIYsbfJLOcDrSy+Y3b9Mami4l1PGz0/lV8t0msE1UK2uCobTJEM2IS2iZvLhUf4lVO/i5
oMqxKgoINodQmHO9sg3FNow0Hf0pGmfcCVHgXOSoAB/svvO9YjZuVR+MMO6yortfzCibpG3odRdl
A+sxCA9m6vpr0/cjylOA6fAnGZO9xg9k77WGY81ZYZGfE30OIOY1W6u0ZU4yQjnRIU1pXZTQej81
VPk9UkKeNGw4q5bm7yqZ8nYVhcPo7I1EBF/SxlffFyDIiqNRftmm8gzVSDVtEqQc17JQwZNt9vmG
dAdrXeSNeUOVK38yoA1tRa4HvqdmoIE6B/sruJ2Jp0osPPRsk/Q8KoP0XsSNWrnQFqittKS39uPo
Uc2mKom14RIiJ6FKVt9tukGl10zr5VPsduFtb6VXg8LstqurxtpWUzVS5yvyXU9V8zZoZHo/ZBbB
YzW2pjOXBYx2QjVTU3WTLeVlZBfVgDArVUjYo94s7lh0yofczspwHc9NvsUXWXwGCrs82iyiJi3Z
35L2QJkHCid8/aiHNuWr5iWqqVqkHUALAbQR45cQF3DrlLUOKeRPq3FiO7Beyl2nqsmKnZOSpO3F
qVkcVAj8ILAJpvOLcqePGLJr7vEhTuoSlb/o5SGffLyCU6a6i6q1/Fu3DOVOa2ZcZZQtPS3WQM1O
aPEvNAphJyZsDGB5PiH3NdzDTJWIHntde63AO1N1ExzQvKEDHvXzNx3I3wmp0nyq89r9O5T2fyvH
Y0uER5f/4B2Gos1h5uf9SVVkphOnHObHtqz3CWQTTx9MFqGFTrOO9b440aeu9x/vi95Jx16vasMQ
ECBkF1nesmv6wR9t+XOoQmLkjlXKLBpZERND2Qr8Tx9f55107PU6i8yQ7bIwhf5eMIr0TXaNizfP
As/InKrXzNn5CDFz9Jkw/v3FlK5T9GKDvMjxf74pkggakp8lxqQUemBRhNZhEVp7WtT9S8w094XW
nzw89uI6fZ/38vSK3n6pUdc8mtScL16BLvbg0s2kx3tqFMXVj2/t143zIvJDNQ5Ynyje96o4wyl4
bdOMDLGFKfq2BKFbYsWw82bhnkYTj/fjay6P6+fN+qIt5JSOE4Ef7/1mfcpod7p1ax0BJLG7UtpS
r2RCZQXOsaT5KyjcrEda1vPPuhazfHz8BX4dpI4NtBwNIMpDgbz659+zyK1KH9MEVmMX1fthwMk6
GoRb/x+uooCw4J+3YbO/GzWpLwaSYBp5pJMGUTPKo90rfPPfX4UDJaJGTOS8eO+uInHPVgBW5NGF
P7SWkUqpwVPh/fgqvxkmJDCjWHQ47XDcfPfEkoX8QgXOPgofNC2FfwZFPw04zCa/BTNf4lb7w5FO
/TpKgICpxRuP0ZfL/vwj0b71pyGV1lErfPlg0NM8znrPVqRLC3eT0+8SNI1mhsjHt/rrzLKAMgDx
cLcUsN7fKtTjCKGFLY5Jx9vtF8yTraSSPcdAMz++1G9ukcFBaY09uAK/9m6yxLJfc6lMHMearPQp
AxQ4N235mFoMGBDUSzQNo+bji/7u/jBQQOpfqIH2+8iQXqcWH1KjO5LdWu/zjICAVCebloPOH9/0
96JnpjNg+YpCtPUKi/vlTQud2tGZT45z3RDuFBuZTd0addUNOqr6ogCrjjJxYps8DuzrBvZazUVf
9aO/tbTG4nBRQKQNRPMNChskW5pP8GOdRJbpHx7LryPcpaSpBPI3AejmvTMqj+whomjGCF9cxPhz
ovJxaV40Kxo4DDUyvv60Vhq/zkMuvTb2lSYFSBNexc9DPEipl/iscUdCodnrAp7j/NCOY/sNhwlL
5gLCZrzHAKvBfVSPfb+Q7s3IHW+qRgDdrYIObyG7pGjXTgad0Y+Hyu+eCTMlY8UgNuMXRT/K2ZAe
Dm/9K34/1u34yQg089gQh0Mcb6X/qYzzy9iU2Mt5Gxauzm/sJxViGDb903ykU2A9Nzq2a7gCOcN0
XDi8H9/d7y62oDp1CjRsH9+PTWfGcBdUBGaO5HlfgaRzz/TG4ZRj6yWnpI8v9stPzZ0By7QM3VxW
vFdZ+A/7IrBzRomxcyKb2eZgGUQo7JGLhJwSP76QWMAsP62upCnKZfNgc3OgipZv8sOVUjOMRlmq
gR1EjY9c5wzXeZrTtMk9POK5OZXxQja2Ass5gykAOiQtlQn4Ol2WQTRYN4BRqBNoA4clrzFm4ggU
DGUCvChlUfUyt3q6VD+Gik7sbhABSvS8cKEhf3wnv/4+9BBcImWWNoP+y1YoylF6Kpr/RzETaTSQ
rXbKUDbv/n24B1RMG+uKtMiuoKSHe/7nZ9YGumj7MayPNWiHA9Zy7r8qkGBo9LNPqLX+WD9cVq8f
fiVsXK/dCSxI7L/0X36lfM5MoyIC7Cir0foupeiPtQXI6LUgIlVDVaeaUzQp4yj+MNOJ90MEF6qg
BSRNrrw4IG3z59u1Ur+N0HihkTWoJM1rPXZk0kCgmjt4j8PoO1+kkSQWAbGN0Vy4AWEHOaDkaC9a
srJX6MymG/0VHT2/wgOqWi0HC7J18bYvYJA6k0286/j8K0U+dc4nDZG9dyEIxxQuHbO4tgkV+ISR
juVOYzHYERpslMce/Q9hapJkDBs3fIeML6Hul1A48ldR1ePYdoJBJOe2viC+EWVk1wPVhotathrK
r0heFZOhzbtC5Tig+jaHUKMqoZ9RltZzrwFf6KJTqsuzNkG8gZ+1nId1MVUzB+g5OqLeNDyrT+0u
XXUGel5A5VVkt9S+9X4onk0oewXvjBFTPOpKIzW+YSbA1R1rMe+LO5ZLMRQUaHgFV4t/VmhRigO5
GxS93RpQ8F6+Bnvk1cy/nVF7vm0+kSlQeXHTZV9TlbxrYQ65+4VqOSqiBOEJB/ephngJUF8bb8px
zsIrM6OXd5YEVd9eN2ZDWVeUire7MLIyuSkIoQTT07UG0Bud8IpEF85ZIGWR3KjSaL6Njc5dDGZs
z99NmXfWeV0ZlOjUkPIzjzoOOVLdM5AZA1/3tjRwNm0SEVtnPU+zp6LRUZuLkASQxl1OXJ46CJWr
lkwUuXOyCY1sby5UFuyhvvFlHsz8UI1xp92OAPZnslsWsjpKNIzBqzA14WHkQ2+3Nwbkb3TYDJfw
ivMqzWXwGcRR09e3Dn1f49FYdy2hE3OZY5qXgincngNGEMkUCzteDZE6sxDaDodw1HAYtEB/oou3
pBSn7OAbjCln2JWIXKqMAaKT+u6NIU9HjwGWA00TF1pUsza87gOo2TP65kBSaghlQd0MI5w5nSDC
jrBo56kYX9x29q9ew1LeSnB22vFlzHA03tAjkR+CY2m6hqyPt9dKCuaWV5jOoAgCeM5fIfevJAJj
NEiEoNpLbV4gs4QGhcqo2VWO5GQWgn2C2NQsNXMzbrovU1QM/XaM6CC8tWbw0D77trlsJAISWFdO
oaznzIiXSmxNeR4IC8cfHCZU4F+XPyU7iowhtSt1Ziv6ESvsr2OMvCeBuZG5Aa9pVmp0GtLJ4sFa
fo+OHr5uEF03ecUXMYi3rLclUZs3OVTV8Qk3lan1FHpswCRO4UIEscfUuJNxDLGnq/1o+k4gF0M2
diphXU8G5PJ1CJmCyMnOGFTGekwbAPVYSLmCsWLRzUl4g1tTfWZjngCrtTE2luQdouXQ4pXvzxm1
eXCkiPhqKBXrKaUoiaslnx1KEqTIHjNdHym1USFH1WbTtoVV+bbi/7dP+oc+KcRHtiT/WV2w/p4+
D8/19x/bpG9/83eXVBEJR9OeEgHzL2r7H7DU/CukJtKm1vKPguAfhIL7FymI6A1ckw69bi4J1P+I
C5y/8KSy1nHaoawidPNfNUndZXX8cel2OTcR6kb3Dxfhb4ycMfG6xuxW+0lO4UMb02BbyxJ1/Iop
ufBGVWfttqymq7QQ8+CBnCbMWbmLN63cxj285BU6UePBx9+HmCyHrATuZPg+4hVegmJj1ExmQoBx
e5VzLoCykz691uxMPGDbPADsNZk6bbzRRZTAQ4z2PgXg27glO5XDw3yRxnY7rJyOCGKFs8ny6PfV
R8mLvu4KcmI1RJQExtcV8kRZn8YKPazMTPZ8ox3vBr4cU0oty4OaI/9QaHV7k7sB9ZomeopVpT1E
aUaUaZXLlQX6eEeAfQAOi1ewdJrych6pRGRjc907wTdqE9ykz50aobi2xJRsXReSCY0sDaxS3u70
IHkpazMaVjpiSXIaSOG2S6RpsCLKbTVz9bAX19IckROq9rwtWAk7Ia4jw7nz++7c8FmkwzG/RWwB
Z4I80RWGBtTfAKj5r+ysmLIzyykffNSp3my045Eo3ieymg+ygmbJlvYar9gTnF50wUVxi8Z/fkxS
knZLMwzXCcsF4inEUVGUewzBu9H0N74CCpf4cvkK1UrafDRdXnOnZqVfmommAfBLCorhbvqpwO37
yRgRYL6GSNOpMLcAhXD4tC3rnp69NHN5xW5+3vuWdmxpZjwXllHflW7br8IIKpKHsQpriSiv4Gru
fWcGkESn8HLqw/rBSpw72UTFrhgpzxhwzc6knyhaWa7BAiIBGqfOfTqXGo0Sc7jHSIS6JSsaRQ+3
ya6F63dfNb2qc/DHunnditS8yCI4fOtBhDg+ChghG87qt6YGf9ykXo3mrzBvmrR1txyacpBmIYgi
3hx41n3E6gTLp89G8kvYuJRsWkrD4NgzFRQBbByvTi+LC2GM3SkItLbbDrVm3yt2pScrk/qTxY2v
mwnNZRbFIqIvCItoazhA/VbmOOmnYcJrfig4lK5sO24ndJT2DOwCMKX/MrlqOEejbGKtyEk9TlVk
1mg4sZhlsXH7On39d6L/w0RvcJZllv3PM/0WGVn07Wdaztvf/KOH0f/iI3QbKgrGF7RiLBx/03Ic
9RdFXgncGIYnBRKULf+PvTNpbhtLs/Zf6eg9KjBcTBHd34IgCZIaKFGzNgjLkjDjYp5+fT9QZnXb
stuKr9a9qajMtDmAGO497znP+WcDgYGPTF1WmgYvBkpkgdz8k5Yj/rGYP9hp41K30HH+v/wwn/do
SBEm+FMNSxr/F+/az9ukENjS7JSy2+k6A0smxS4LLnro3HPRGZgybbMuzlOri2kDW+y1Pxyrq78e
KD86TD5tf9maoYI4kIIQylHoPwfFq4qxfz+PrT90er+BAWJttFgn5mnH+e5feCt3KWG1cdFgDv35
i9ZGgnElJ+3OLSf2mdYNK4OI7YaMTvUvfCsOJU4mAK2LUvHzW80aPXyTEK2fjWMMoJKI4jKg9trR
7vZ//lafmBgfB3CRrZB4OCl+UcahMXdpZnIA8eeCZZ50qHWd9T721josgsSzJU8g3HYpA3FiO39+
80Vl+WGR8Peb0zi7nMXYuj59z5ZpSmCUbeuTsbPITI3RptBE9YWA/Os5Yuqcl9gdBR1rvwiITegY
TV8FnV+7wqo5N2miW5ljZfebpMy/VMw+6dV8KewmXFsU/+qcJp/JKSYVMkaktR3EJKslP1W/ASR6
p9UGNn+Wn5Gn/Nts+L8OMX89jLBo0GSR/zW0s8/QjCCiEh2xoPO5z+M6ZgfAj+XKzZ9/rE8658f3
0mHAug5chiX7/vNJKbpAK1LULN+IlzSUopxTLX2cNOLZo8r24M/v9ruj+OO7fTo1kOzCKmRj6Dv9
QFYYJAtpR+zkSQrW3HXpEE/Tlz+/5WfF5+Mb4opF6mHpzAn56VY2RanlkFdofS2yxFGQkrwPcYMj
S8wOBbMhC8OKuNvkAJIQzavVqs6hNI1dF9bS7zu333SjPqzqwS6/j6Oh7Ml+uys9aKubGcpTZkeh
pzHh/+LG9FkhXz63ATVtwUsxLvzljHOakFa7lsuI4lCxlC8Mqb0aR7PfKAph7rjRGC87clgbHL0N
BR/iWZ0J0HRUcFzauEQoPgjdI+zG8IsL3PzNqckWhZkwVzh9z58HBombQdY1sxZac0R5Y2SS1SEQ
x+Ycp1UVNndjbCSM3C0m+zKbi8NYJPU5iNqezPbIsq6nZAtMPYmqibyhAS91HRQOZAwU1bOw0+tL
3ZqVPWY3uUbfadcD3nwomRSbdsBS79veCTzXiCuvFoq9RXfGVmGQD6Mw+ACmoVkNStZ5bWC6qzEz
zyKR3nUktS9TMSElGXgYarYU60Fpj3js510V24u1KjPgcGTBuRpN6gOWot5HHFBY203v6WScWmw7
K9cO011rRe2RVy62fz5bf71AmGayMOCqh+vDiPbny3EE6tGRAeFHbyJ6MjrSpY66J451281Buek6
Ivb/wjsybGQKYDIR/jyIc2tSDO6ctn4NbEdrxCbTwu9uIc5rA5UCYubjn9/v1/u2wzYBHBx0Ypel
zye9uQndvuC3af1kyshK9JTEhXLA4a3X0xcP3F9PUwYBJGFU5qjMHj7bVMOOTc0AxN93nZ6UklJp
0HY6+4sD+Nt3EVTosME2DI7hzz9Zjt0+bwnY+IpVq8wSbFfZwfV1rv583LRPww3uBwuYjN03q0XN
5nH08/tQKkhksVzQ1rSqrUFGJ1trzOk0aAoJC7OxWVJw4qvEJg+18wCC1Zcijb+6LX2SAD4+BksY
NiqayaT4I4Dww4ylImY+x73d+GLM7A323mwLBLndiqGNHc8Qs9hrxehualW+ZXKwT0SPBp/CoP4i
n2fjAGz7q7G1/tvPhOUHUQJK5C8F5aFQFCWgAdcvwq7Yq7W5cdUO4G3RVpdBA+gosrFGZlCAvQzX
6LEr48mzYlVfu04hobplb5k29peYX0FtDM9douheFbflzVR0aIUt+j0S6HAopuxSUduvxnG//wIu
o0ZsNnSRLCrSj4OrQKvdfHIGDmo0ncLaLrfdIMK7iLuYh0MxWQcNqc/ctlqeWHV+gCn9zYnt26a2
3D2B/cAbYTuSP5LuNcAdeeuI+W02g+JgOJG7BdU7rSmZUnhWtNkWJnf5xSPhM2Lqr9Pih2/w6ewc
2owPzATbn5QkBCLmFocWcgjVSCo8jZqbfIdikyTq3pCoCQ021S+uQ+O3ZwHGFjQqUFe/uNKdiXvJ
ZHaNn+BHK/FKOOYLy6orm0osPDbqqyRU+EBZYvSd2oq260MvkToah8Egvg+bra42cl0zKlsNsTbk
hO670ot4Qx9tKPHojdXepkLTuFXaN7aRbkyMf2tLcfFZY0LVelM9V0wt281SfrN79cbC/+bhQgYd
DZPe/OKY/7p0c/BtwvRkhUDC/LObAcHPZm7CDaFKsoci8O0+ydbKTLmxnE3ji3Xib27bcO2IaLCu
54U/O3oaLENFzU3HL8Pi3aXzg6c2kpEAt/7FOy07rp+3D3wtfTGiCDiX6mdnQBWEHXMckzOpDm9T
zQgpoJ8ZFFB4bsF9SCEfq5biHAILTs+f77G/efrCX9QZXRg8mH7x3bQh5LAgYbTf2dMThSNXo12d
KGx9B3D5wpbX+uIB9bH2/OW7moS/NKaSTCM/XTVurzQjrLPGZxtenDqDdc8UQBcCNOYZ/fwGaPuW
YdG4DqeSxY0AnApgkNkfq5U/f/Xfnkz4HXiyELn6xe8QM1Ayo57rl0rsFvKZjb5JUwJOYQmKIUre
//x2v3loWsyT+ZkZ1v864LbcJF36t/iRmev5CGSBN0NL+GKP+Nvji38DD85yeMVnQCKRkVBqlNb4
7JFrz2HOve6LxPWswFH2A6UXXtiLbg2NBIExCHMPNSCjXkE5g7j01T3y10059GN2hWzKGUP/4j4a
ps6co4Zhs9G39MOFNmTrer6Y+iVtm2uKV5KX9SO7xbGdduoXl9XnVpjlDs19kcg8KUMcJp/PtRZ2
nm4Uau1PeKRfShvRcTVQ9XikFN6koMSScE5kt2TulWlp1e4tmDwMyMtUh1FhQ/kiTTRc9JFB4bDe
tp3mmSF17n8+M35zo1lQngS6cCjizVxO1B/WF5HixJNZWJVvjUEN5gkSvGiwI7CWj784JL95K1jq
2LNozKGt67P2EydaUzK+JzI/B/m7MCb7ei4iIsVwCv6Fr8Ua1MSWskhqv9zVmNQSHnJE5Zt6XF9j
/bC2crKDs6RuURH/W2j8jXj2m5sY74QswhIRaO5npUKfgzCRHe8UMylZB4xobvKw0jc83fADjLlY
CaJsX9w+fnso2V8LS7NIuS9pwR9/tRAKH/U9ZuXTatB7+RLRjhMYDjWQ5C/eCgfMr08IVhrqghO1
mbh9XnE7qZBdyIjVpyyGRlILHgI1VJEYAFflAVEZq24oLmRNnnmV0Q/Klp1jN25mBrL5NeRHLq7Y
QGPc0/SX3etlz3C1ppezAxOQWQQSgir6JinruUhxhTbbMMpwYzWFFjPP4SsZHr2FdL24vclwdcBN
OZ2ZCrQHIOP2vKHYKSJun0bMejsdG0ImAANtcQCO1sbARq8/uoMW529WglhC6oodTARepTaCNVn7
OrprMqlN+6xAXfOpDsnFRlFLDS8asHy/6dK+uTTzonMuRNtNwbXVUPmx5Z+VAVpN3aTjqhNuShFn
2ovwwrEL015jV5DJtgO4dkMRJnn7ulAkKT3s8VDjar0mIhff5w0mNagAtD/t7ZDEiud0EqcWpeZE
ufKSBp3zpGc7GXuWWw6Z3zQQWtZjb04Qk3raaM5yBbcXukNe6usyN5fFVew4+jeb0gPiuTS7erMj
ZH0DLl2xfdk2yXQ1BHZ/U8SipuJTqVz7pMqcQkaAtWG3ZxE7bitndOOtKGAlr0goz7MHksX1i5pH
1CYLFvlPVXTIeFVjOndJVC0NornExyUiuEJJWZq73Omu0Xm3HZVWD0GpZ48ZgbFTWxC2CHLM1sqU
gHCsXKDa07aomi3Qm+IU2IioIqLAhUYWXxcpLD83zbdh1x8MvMCeXjbfktQSxHv0YN0lo7HFSvkq
CCtteoop+Ay17cN5UTcuPh1fUJy+YsU8rxKmi2eNKMcXu8XZIIhJUD/ef5sry9z1Bq1H/TitMEbc
U1S4sciLXZluXm80tYiviE1jxMGqcubkWXRhDPwe7BbiVRMH9+NsmL6paNdwSEAnTmOwD+gb9cYk
7VhUMP/KeEqsm8ZecBvjnowHAZx5Mvmf9JiiLo2DqA+U3urrWU2rzdjSd5oQo6R7MM3PBiNaM+5y
rgJHnKg6GTfa4ETbeQbWMjHWWgf6pPszS9dTEGblc+E06nkRgd6nwNYC5NXW75ZSgYpqKUVzEKwB
NkhzX2fuvLIhSO4NNdb3zWQzwhv7AwOzbWyW2jY1J/gdXfVYxKBkTXETd9Mj2YdiM0D7ZGYcPOaW
EtZcgbmz7zu72FJESnGPqdySfAdVEhiALUPpbFQAJfwOFVjQxJ3XEfuGU1wr/VUVQkltupHnotGc
g8ewV9lIHhM/1xvZgHLnGG1M73BOb1Xu9O+iAUA5xcOMwpX2cTtP9I5VBfWNK1aaNfEsGbvtbSoJ
70E6dNOHnGH9uLbxQKU8TLlJJGE3PDH7TS/JB8XIIwSmnFTbq104QUVuJWPTGVJcKyV2WQ53YJK4
ac6dCVpn8zRFYC/hP+qBGABGUpT2RFZti48UcqOi85l9W9Hl95H8V7kzoHR1sPVqGyKTBKx/rigW
rI/UdgB6ZRNcpAPyrNog0lbxrq45Uqs2LbL17OT9bYSqf6VniX4b5EUa74fEqjcmsKxLbdCdrSQX
Rm6uQoyL4kZ9sdSA9ST6LsTXWc3OSh6y39vGCa1NNoW0+A2kQJnfN9aNwAv27iLukwwldc3mGyTA
GhfkeMecKX+vS5ITqylvtGfqi+o1WzTz6ILdeKJPicxG1Ex+y4rl1plE8tQ3vA7JT7p/Wr06zGQ1
vQ+DkC6M5gEVbhnE4/RdCuc4EyLDrR4jWtG+V6WAjAuA8REDXbxLIBJke2Ns0208qc0DcAE63Ww5
YL8KzLxdd3PDxZHpikmBjICxbFmmRwbS2HcV/E6yW/qGXalbb1P2TfkuhxmSrdo47O+rYFiKq0xG
+is3HALSmqqoXC9nNLgviwhGycB95BC6SXQD3yFbSbuGsdVwOJV76o74imTb3Iik+cxHtdL+vtfH
briAlB8eYwcvvQTmciFbxzmnP5tXNUrKktXYuulb3ZxXrEQqQDtRdEwGeIJId/oG4cw8hjWX6qYg
j7uduzHdDnKE5WrbdnjMSAzbXmlG5pGLqOKi4tdFhK8OKSSJI3C48qXuw/pazEAmm5jjHSfp5M9U
/viwxeKdUovpTOHUvC7NunyBwViAU7Tmsl+nVRL7HNl4Z445L6uQB9dqUR1KjWT73DflSzuV9WNP
io1Jv119l4tLEDNTxGGlqic4hKgRuDPa5tUdGvMo5oqq5F664XGEWlGy3oWh9Urzl8CLUOqDIQCO
D0ARzzUey+V6cGFPK5FTVczRo6TgDtUFDdZYQrUlicdjbMrgrrSiEOZuJ5+t0ErXLWFXkG80CoJ9
dVhEmrhKN2HrVIepVoN1SM3aWZ3z5elfGO8cuOfPRRjEO6Pkb5eqEh47PAs0LDgmK3AQO0wsDBCp
dbr0drUuIs6a4ncg13nLHwh6kgVhOGQt0cFSdquZ6xwZq2gepgnR2rH75tUOBd3twUR1BMkjznLY
Sx0zF928ifOovxey7WxvkHzIzFSxqrV1+c1IIutGcecqW5XFEB0nKy+0FXy1+jGr5vHKsZruXi3H
lJgxP7deB865CQftVGEg3WupMm1d28bPySIjOoqGowbJerpSQ2V6V2cZ+8pIzxZeGyc4UQwm9pUa
FeeWMfCKcsakqanjHbmF5nUeKEAjRYEkvlHyaHq3S2Q+CENQlFboLQ2kBUsZiEgqOF+5k8/QsGPF
Ck4iYstFqJ0Y+j7vewuub8eZNCtVza3XEpxp3LOiI5XtUvNybZZXipEg4vZwmZFSGyfq95YhncJz
m/ZdYkmiMlbNE6/Kh+odgpt2L0I8mP3QaG9Wn9BayaVXXXO3mN+lvtDJLb0gfFonZvdGcdJs8pvh
WlLKksNi8SRvfBU2Zb3C9qXdAu9UTm4LOCG2rf6NMFN13QYFwn+ll5dtP5VPYxJU11rrhMfAqsg+
uDCK4sYx9tzHluIlh+u7UML2ocKxo1I77jTc42Wam3tJxOSdFbV9wZ442JZdUHMTo5YH3bSF+lYF
hvMMZLW9DPKljjzL+p2wcn4aHpvnRi3SbmUCPriyRFNuy0I0d3XZ04U2R+9tKPlXTVmW66AvjRfT
DU3Cv/hcS0FjnW6M2Id6w/I1jteKiaaAplVzHVL9OJ20HKspixAYhiIJ7vUshNasyBsgLxe9zS1x
VNWYvUxdrweKJy8r9B+1i/pDkpd4LpvUOqoDzW2kkLlvGDPjdTVWLkZLKY/FZAY3VqDLPXTKLuSm
C59dKxg2Vhjn9mbcHvoJBF3MtXmhhqAFi9AuDmFEgJalPktAclErJNRvrkkpYGoXmIllb7z2mThU
sapxS4O8ORtNtSksrfTGVpwRaxcPrLdVmmJH+eIOy5xJttsIZXlfBdJmWkZd0I6s/PQAIzs8ERUa
tvZY7iyZVWsXVkSI6VvunGH+hv6XP4GXnZcmTA6SroiQGz07HM+eJhFBY0ibfaqoxqoPFAqWc1Fu
AVow+NK6cs0KdbiC1Kr6tMQ3N10FzNMY3PDUNbxJZwb2VUfxAeEPY1qxKRXfKCe07qmnzHZxbN+P
YIN85NKIdSBLOWLfWJlkPEQXsYNwIzV9H2Cce4nUYNj2jqL6LfiNtRND+x4+qPYANlfALtxNSF74
jMWFeEiE6RfmKMEjJ9yAJZb4VWjhmXIz133v005/GEuhXbq5O+NayMVtGY0JaXlXLAhn8yynk+ae
tif7eur5lcy+GautzbpwVbc13czjWL7NjJp0rwzbGBAip0FcZGGM1a8oua2Bb1lo2o03lklNnSZd
oDNOts62WNCLMPmWTGN6ACyya9MqS1amULDTJeP1rOoPbQywk0txS8VZwkLNhOgQkJTOhRncUR7H
MkP025RbYIIzsI1PjlrP65Rg8llDHtIL1GgTmUvu3ajNY16aUnrR4GoMLbJ5P02yv7BMUMWs0ZSU
C84qDmU4JlRmEpxZ0Te5dBDWBdvSTEm4jJih9ZCf2+Qx14Xlk/koeOSMRBMqYnb0msbKeOUGRnU+
IWazq7N7AvxUFqUHl9TfybTxOCb2uAt6wL1Ok14AZCJ2W9C+2giZMRwdIEIPTQvLiXolMg472CLu
o8vMlH3OtxpoC+WiJsb20uqX5uNoYa+32iN1jvVe6vaLNltvQS2rZ1as2XNGIp2bVqPc2RnNp0bf
hZvW7vLryWLFAkJbY+iNqdwLR6poWQ6NOxok+/igGHIgn2Grjb2zUw3DZiEseVSGEKN3MdnyiHwD
mE0HxCAZA2TchKRGgCvPk+Jar5z82iLam63iiRtoAqTtNWt09aVokui1CoglerrCC1a4AA5mncib
CXTx8Fiz4uF3i9nkUIUHkbNXSMxkpcMThezDE09LtLM5W0JHIYLkXgZgS1gfszOlvkgcwpQqhhwE
8Csu+CVgNHX5eyoKVIVmboNntUm0l/Sjg08Chr9qqjF41tOaTbgIYsX1yjloXimZUPKFPe9ickzN
4iarRm4MTTQOcmuHbS+3wh1QNOBucXpEIHHHFUFneRNZkO5ZY8rg2dRM/o5bjrAuwF+mMKELldOo
MKY2XfcNn5IuRuxS6wKXFhROCL459kZRNGfxbLbsG9Wih14xlFDQtyxeeeVZcWDLiAH5cR0Jd1J8
ZVqWAC0TUugeY+6eJxEA6LVV5yxas8DiV1JmHnVeNnbBc1/3IIXDjpAfbEMzf9e7jneFe0IkaBCG
+/zXwTR7JexWBuPJ2JsbUDKerc2jXLGfkL7hmqFnQORPPbQgDr2hieLGxD9W+BnMzfvFWRCzwUzH
dFdqqEBHUsSjtm3N2TybsNPfgE+CmRsK5q0ehWJ8v9Q20UPqEjLmWYOLoffzCePHhdu3/XtvoY3i
yjXL6AKWTnSbTr3uFx2ttjmEguvUhuvnLdyL2yEqm2k3IsMHR9HxpXd6D4ECqV3wqWMQ/uzyprFQ
mP9Jqgn4Tbh20f6jaY0uw1HslZY/P8Oif43ZvcSrv1hPTd+8xRQmZ77b1RSpdi7eUUCesT56mcr1
sxr4OWfChLk4DDTTA2mSLSs6MxJUTwETRUQBB5TByibyU3Opkxfj7yo8v0DPqOQOCqfDVqXP45wd
ox5we7UsITMYJO0qwxt4p1GJtgF+oB6YSRMup7rrOg+d8RwvU3w/z9FwN+hwGz/0zv/zoH7lQf0L
/fDf0vD6W/vt396KNm6ny2/523/+u/8myaWhHv/1L/ev//nv2l9/5388qIuV38VkpJM7hWr4Px5U
8x8WfjAubTw+i1+R//TPuAHa79+eU0P9B4YH0tuE70n7wwn7f//xk7+t+fTPP5o+gT38rOuy5SHw
sEDdkJBRr61FZP5B+nd1SaGwdLKd4YRPQxqNq7bhPsSQ8LFQrJu6V3bFovs4ufbIkkbbdva0bZCG
2kUjYlWv740hn/bNoiAV2mDuQYNSQT2p5ZooWuHRGlS/TwEuSLnoUHJRpJRFm2KkrJ6UD71qUa6M
DF2tdOJ4GyjFuOlC+0R4wbka5hhHfJufFQPBNDSDZctYVZtG0fX1tKhliFpUHOTHqdFNfAMoagnS
GpEtOmTgJ62lPdjEuYbuluwVlMJFlaOxBkUToW5YFLumDR8skccrfVHzyABFF+2i8CWL1qcuqp8G
smxjLkogS/mNQBrskAi7RSucFtUwRz6U9DnjiOoHmurRFuNFZUwXvdFYlMcyq1giLGpkveiSw6JQ
DgKVhDjAa7uol2LRMeNF0WRR801nBbnIdAeeFDT/xgiVyaKEQjQON/yqq2FRSXPk0hbZFJXlGCw6
aqeAyy8NNLnRltrJXfTWdlFe8eVsc3e4Jo+Qn1JcL+dx5tTdKmGiTZdMl13UpREOG93pucsUVfrY
sWO8ZlAv9kajtJ5hFCyDy7CvbypDCW50oZlnIp14pim5CYOqtSruOmV8WctseAxcbpcYVd37MTdS
6kxkh3AjUb0iOpA2zZCyx8EvcG0P4JILIr5oYDqVwK3hlE92nPCESmxA2rSSmGdmhtKv6pl2KYqP
J76WIZDDy63PEYtADceGxsGjoAoqfId+0OhlQYAkCEi/SLU4VMrMKrVyCrtaxXQN0AYuczoLUPbO
JgYeW32wk2dbZ32xHoOw2DAzCu6TpXreIVG4GfNY3gCc0i4NiMVnYqH9sdxNnssy4IngajaPrJge
m22eKOOmRWi8miAZXnYUYpPpDMW4aah79ecBGpbRDkzXYYFP67oiNlepRnY/IXO91B0BTYWa+6XC
oOWo1pI/E/XjFQdQ8RCmybzS3KrdohVh8mt5STwTS3NWQTKaaFx2b3bBlO4AB/PlgcFNJztbkCc5
9U4n/OOsMKVppZ4x8TuUTsYLklGJqg2cUWo6+nxaj21OIJTrz48tBmtYINnxBiN0ERrWQUuX1B1c
0gvMAxH0qK91Rvlmjuwng07CcVo+WYI719n2ncbLw0iyr8M5QiIwa9PyQPk712JcpDGlzd+zZaFW
mEV32yRigEIK38iLly/+sVFlhtve2WPOH8yCRN+bPTeRNTbdaUNRE3bBQSTPH2caOSTebcbuBk59
Yr8SjwB0gEbI41C6rHNYnKFxIrDcs1zTH4ZimWO0ubCvazMUe+Du0BxZ063rml2JHnYQFAkLc9ej
S+ag5IsnQg8GelGGvH1t7Si+LFRpHSnpnc6qQNNPAeHm01Ap+SbijExXgJWDZ1dHJxvMPEJeCkZe
qHd4R3tako1hpNzIGdfjbLHqrUJ2Y5KUy+bj18qHXN7E4USmsqEzsPU0XJieTDhyky3Mc61a+pcs
h9AX4jov3w0Mtu1s5KynOmTFDOjJQfLz9ErGXpPMl00RAbyYrmhVuu0r1uq9KZ8L6s/D3Jo817nQ
2459fXgV9SqhsDba5Un9DhPojCoX1FNWxPTnnsbGYPcQ+a0134d1A0iPUOq5hcCPeGxu0kZZ6eUk
PUcv5KnlOUZV1OKr1mLNOrH6uWu0RLu0oKet6aMI15ZdGp5m436M8+kyHt31MCbrJpAHo7CDK61V
6PYddRqxZci0ZoAN7RMrTlYO4PHNVKaIKsyVd32flV7rpFW0VmgoL8LR6yv9DTa9PKuiuDyjhYWS
FT3X9thsv9dauysc85rHZOalfWewLg2DJ6oYHhvF+T51WM1B0efbrKebJ58KjMC5Ma3ZOLONpHK9
90rizTedIYRHlG5+zXuT5Rrzt8V3sC3b8aZIuvLg2ilCQBt5IO/5gWNL245VF6ySYUrJdGh31sSi
nUXrPh2nnEIw3diRgU7XqtOVm7FIIRO5HdtROnkUKZ8qtWNiWEhy5qlqH2pOfKYXlro2IX2rWl6B
M6oItE7vxlSeytix32IdDYzqePXZRrRbE7i/bTE0fpsmxdhwrcOlMyrHoziGAQRC94IjFtWqn2fu
B0af7cJkNli8OqrwZtQlN7ip8uY1mlp6fuDjXDJMHQhxhIxivKLV1WlVzHW3obCrOJeadZlxz7/m
tKL0wgq0K2OexGbQu0Ky1lUSkGFpuRYN6d1G08u3hlD0Zs51CqFlSmVI+Q0Qj76unMZdJ1r/qNK3
Q5UOT3uXvQRG0O470YwnanJ8daqCu0Er8dYbab8y0Tc9KZgs18K8C3A/exaXITurInx0Ep7DRQPo
D7vC+eCwIWaR4LzSZt2fbPZYVCtVyxqCJCgTRWs6QIsfUCT1wBlxsiR3id2xaW5E/gY9L3lDL8sO
bp3bcPsbSOi9giRhiWGbNvzdMDdA3APxh4kqr4HjYjOKKlZWxuIMKWvnsuzL4blQp+x50DXj0mrJ
ipissFa1Fc/rjKuIO3kbox7TKgR/kXmbu7LGJDzvGZVoh0YPtHEVNbN1qbvV0utS0YyDdnnfWqNy
tLTaAf2MYMqPKCmCqkNl06dJd47XSnDGFEG4kpVZ6isxDzwGx05e0nJjHwRz/k1QmfkmaKrgnpx4
C+N+jpPN3FRFgVBe0LNB7eqelULqa6qsNvGYBR4BQmpdonp8L3JdP2p52N4NdTzsysiuHqyqZSzL
vXDNtpC9rT3Q/CBKapLseZ/mrMJQkZWDSuGAV2p6tZP41LyybhNmPVPA3Etz+FgZNgiRvdhNRg9M
HQxH2qXUizqg7Q70Xu1XOvaubkgDjzXDxchUHgOrH+oh+2BnfkrqWpZrSmwYYA9VTWoz1SAjNtmW
di/A2LSX+LOkCCKOJr9mpLXSO0KVZtb0VzPN5KsUdgVPrt45TgPT/ippBuaVqfJktO6lVpTN27BQ
wCtrarduaYXbLguAVRoVbNQ6jtdwtLnEMdUvM4wTT1B5pEWSkYHbTatGHcx7oxz9cRgpWTTgtVqG
fTnGukay0Ul8HJI+VJ7GyzRgDL0M3+gZ9o2WR15fyWzTx0m3GdWRKp5ea7wuaYL9UAXncVidKJ00
6fxxkv00W+NZkOBeZbShRKm2QdY9uSl3V+3M7hSL7pKkjDJt6d0akvDasKiC4RJuhpCR3iB6oPqK
EvJICCuV3S7AG9qc7CGbRvrqmLGcmyxVUi8J89QEVJj069EpdWS+Lh0TgM1918l1bsW4n+gdjabv
UUqoVqwsI5D6jqfhA3vpa0V1+y01B4vk0w03gT3PG22am8swMSWRZ1NcICw8VrMRb+bSOsWuVLxk
bgn2MrVcZ66ZHCu7NF+apXsi0Yv5RWu09mLIwfzGWv9WhxPDOFPv6anvjTUZcXEQI7sftu7NFUKP
fo7gUp2WhoWNHiC5Tor9TNQtoCSxS74NbTgxDamFwfOe9L8Sg+BJaDhJq6bw+j4evQB9gUclXCmk
a+o/HPfWXZCYdEueARsdVsgCr7ZOolhUeX0JH8XLpPgegTpAk4/dA+UtVrFJtGXRHyKhvKiIha92
aibnA6xL1vGN2Bmw5vd14t6ohGpUOB/9rDArb9M9bQwOqN1ZTOeC6fs1tQzzQ0bjykUT5d/ZgIb5
RuoVFXtDu2g0RSDXcRF9r/Kcp75S5a92by33rKBttx30tG2tqfUTyxdrozN5OLWBO3usgU5GnJhH
I5lpmNPI+R5U4VZre5q50rpiuLe6oTurSqM4n7PeIXAytdlx6WKjqwJA1QuGEDVcBUk8bnMNfhHP
wZqJE1tDyTogc51XJ1S5cfShqZ2YNTgPLV7up9nIi5c5YgiLPG8IhVu+TYtdpw7FLXXDcmMug/1g
GfFD5B83jjbv42X8Xy5GAMpN0st4MQeAwtbW1odjwCwi2oKSZJDInJJTKGRRkny4C4rFaIBot5gO
yIt/eBBYPS+WhPEvg4KxmBVQifr3aDEw2IuVoV5MDSPuhnSxOTSL4QFV/Tytu5x9FmYICnj7q3Ax
SBiLVSJdTBPzYp8wFyNFvVgqksVcwQe7Y+NHeYUbya2SYMHIPtwY/6f6fGg3X6g+umYuLtf/XfW5
iBvUmTr+Ufb5+y/9U/ahpsIFaUiojHAtIsvfuWMXwoSN7dpyfkgcC/UflqZpOLIZDGJJWd78n+qP
RRh5kYj4AyrBC9y1n+SeP8k/uFB/ln/gQeG9h8zHfp8YhPnZYl4zd68IzoD7ZgFfcdMJrR5pFBfF
tCot0T+pYW5D5zbliULg4pImTEKsDpRrj/tvsmHbq0KCSOdpU+tjeoycNklXlgJ0wrVrH/eYcWgL
NuUMEcpqbTqjY6wk8yQ6MaGqb6fIjM76bJDnasgeeiX17LyM6vSKtKzjY8eI/MAObF+kmWhx7CrB
Giue5c9xVO9T8r4XHdcNAZKGzaXRYUpc5VALzuzxv9g7s+XIjSzb/lCjDI4Zjw3EyOA8ZJJ8gTGZ
mZgBh2N0fP1dkFT3Sll9S1bvbVYqmZQUIwIBuB8/Z++12/mdkDuNTA4WdGxnIwdFwxpOU9Mmj23n
OKgljXk5j6TQlSvegbIKbtaSoM5ILcGw5wdgzU/ecuBQ6N3NyYI0TuCuM2Nm4PjDdOKcSmUZn3Or
Oubjecgq1wRMIGr1I12spIuzWop7Ok3jcbBt9UiRSMYpYa/Y4cqCnZH8wh+FSRVWuMC5ZSVt0slg
nt8i7UShJlfjs/HQg0RCtrCB1q4567x7ncKleyzmjQOeBdNLhu/3CaEPwqnKWNW3DbD+qoyyDOPR
dRgbeZx6OcaEsP2CBvoiDK3IIpHtnLlh6ccAvdRHBzxqZAQ3f8XnbnGRm+ob0XbDKVzz4SCcPP9c
zbG6zk11Z6ype1WqQV6pZF0vMqmmGLVjzyg1QARKocqUz9Sjpfg+0/KVySZZJVylkd+GUvFg9XZ1
0cIne7atPT7oEiL1FMl4LXLXONE1z45Ll1TPoFOzr+WQbzroRlIc6YWlu/ZQPeyAJ7K4A40rOblw
75075Yw3aDBXCpzWROKlBdEH2TZ5qFIURPHM4XdXcYgB4RMu809ID6OKJZwMzuUVhCZZZM19Diie
TVf71/ReULeumrOrCuobORjFtWWAnCI+cWYVZmDkoxNsZfqFGsRCbUWb51uHhE9GpXS9o18pfgr+
+WmVRG0zP3MIEQ8acQsmO3xIE03BS34c2ixCnjRneOXe5lU4fTZI1DBVQWKaC8NAQd+P+ug02YJI
fvAIOA+H5iVsi+TVqAlXuko6qyv2YeOL791s9mOUmfP4OK0EIe4nXYq3IUSuGadNhxhzbDrCD00A
InIWH6WyFewMPejHHux2cHLsciYNNghbaPO6j8LaXuhJUkzSX0iE/cWezOyCdMT5NnodrlIBI4mu
g1qrE06VAGaL6d+ULtiMM/yw8BmBHgWYLvykZurCUXon0749BFlTf2DxCl9U7nwzzHnj2ij7Roye
/uFKpeniCdE2+wTgxytSvV7ElSoGTlZVo94G3yGhVPuFPNPBHna1MbFvDq4bXmfWMuzkoB6gWoYO
wxWeZ2VyWtI0Q/YBCLa4tlDHrdPY7xYOGzsnCzmpzgNKKpR5Vy5zzni1syLgOjjFsR1HVjSFWj0m
r9VEpuHkj/QKXSoFs1x2Rjgkzt7xlflmlVm4Xx0W08kySRMPm20q5A+yOqfa7nDD0muNSHEfHkkd
dbZmb118LfOiI4tHDPbMYpaM5yRdmiBGXCzfJx/Z1clBVHLqTBjUkWvqHnmPMj5b12dWRS9lutcd
MYpFuWZh1BpFiLLYYRhuBFn37s16/tFV2fymnUbc2ChV6/0w9wEHZFcrXL3MqO8yHSblDuJLvfOy
mRa5ZczkhZvyKS17xKJlOF8UMysCFcpuRzl15Ug94O1oqoeQk9JuSqH3FCXLJv6PDjVI/Zw27njs
1QxLD/AFJ3uVK9rFcOdjgCvevjOX9ftqT0u9n4TX7Vp7rInEhL8TAYkt7hZTVNN4cTg70Pxy6C/k
X1emB82J9heRfa+BLj0OC8i4xTC8jiNnirtkSeg+hYV3JwriC4iJV1RSlfmIUyS9Z1lcjn5Qrucp
nb+4TtM8dgA+HkfRJ1ZEgHryZUbu+GqDgSPg22/mqwy83peg8Tio9DOPVZDL5t5ktnpPQEx36FNy
VIe8dG7DtOYQOK0Wc1xcHpFgt4uXWtMFtsLx0AV+V+xs6r/bIjR5u15pHASBvFwYoIQ86qHlRIJ2
2jXpGB5go8G6IZksIVWBWfWTEyjvXCBFe05HAwRcNiXZD3vFXIn4aKy3sryFO6iT27CV8onmiX9O
+eCfki7tedbK5bBBS2AhL+qdWO6ljVHoradUMEEoHG1FC7SFfTeQU14OLuvRmIv1glLW3wYm9Gnm
4r4j8ilyO8u+S9qqd1hky+RxXuE2IeG7Qf2AtrRZHZ9nbSSSmtCK43Y9n1W7JfEVK5497OPHolPG
XVlyvOK4MLsPjI+y7wlHoVO+GHTnVbdIXscc9JVeff3ASH4+hjoMz5MY+y8qaev7SbjTiecJkyO0
TkA90g9rviI6UODxNCZIsgLneERh+oBhgPkOaZthTJyGQAeSmyeikx0iXevkBnLRcu7ZGBG/WvNt
EwafJurhT9HbVhu5vdu95mOVvZtzUp771pBHYKpGQJgASw23X8YmjZPdjW3T9A/5VJT3SUgJIn0f
3fogvDerzYM7Szc8edm2aEJZt7ZpwOyue6Usq31qdPjKxJwjxJQFmbx0fYfdh9YaGbvkI4RvOSFb
TNXDvrvHbZH3J5uGoRGtnle6ZKeIzry2PDrgRxmKxkSXPNDxjNn4ufKwwfST6tLdEtqBPtgZYfIS
NzxdJKKAOJFvkyGrLS4Izvv6NA5G9upK280/LI9HPCa9xHT3aia+FgyVt3SrdyPEAvXkCM4hN8cr
blmLtFJ/QhjYf3TJ+kbZu3wtS6P5LKbF+hIieXwWXSqvyId57hpf72u7q88ww2TsjxOdgnZ59Kr1
jQXwp5NnH8XgvfmcD7+RI0AF4dCkj3p3fMPuXZw8P6juO6xjs1Mb13w5VhQoyE9NOXQ/7dWdaEnJ
riT/rLMDYh/GvDoxUxgebHcukYqPTtZFUhF9/hx4o9rXq7U+ZITD40XBh1Ibv3to/ndm/jenJ8xe
AjfR///0dP7+kf0l/O+P/+KPoxMnoS39byMjAenz0Gn839MT8Nx/WDZcWWAqfz1BcdwyTcZgcJ2R
NXrbKP2PE5QjyP7DLIWMkFLApdj+T05Q4O1+OUFtvwEbCBAoRC3iX1i+pUi6EXild4uqg9T3hLDQ
C7c2DSQjQLLspwR71KXNqM4MveppzaVLErTl/8hwDD85fsmiIVr7Gao/D4tv5BdOcawplRUgN5ME
1JCXufZhuzPomA+PiOtSlv50nrsXs+nY6ohzqez6UoZ5f2T+URS3PtAoBk5dFRwQ8DbnOtHYp4qR
zC0t0l1TV84O6IF7wOdksVmF4wO595ydCta3a4LG5HU/WsNRe1N3ZYVq/s4m+u7UA33xsDffOK/5
R1Pm8l3VpRnTGfaQ7PYftiqorTFKMKLxLZVdVp0tJ1O2zoEvyrhtCiNBBOxPhwzUCYWHguQ3KaT0
o6ingwvejVo7n4s7I8usrwBtN/SV3MHikHGfZ+ajBrzwOIwdhN/B/Fq5efiyUGjeLQ0oPGmFX5cl
8PaTqePEnuoHpyAUzRmVdavqWp1HRrkkm5OfWAMIPrtelt8QcP8RDh0DKvyCexdN+KWrCUKtWmP6
xo6QnDVQU3JrRfWj3hK71yIQPzizB0QQ9ao9hVb+Y+Sss0fTt7y6IpgbwHOEgnQySOOuroJ3yxox
rvtFxrVpv9Z5/bUzeOmmk7gDs3nC92y4e9rm7R56hB+7gKjJnye3i8waJkoiAsJeP/nrgh0bFaM8
b3fkSwd59oAaFC0bNWV5Yg7c5VHm++Cu2skn257t9WiiANaY7DjfRR5g30enFOW91v16l8wZp9nV
6a4z2zI4RpmLy6vYLQID3zk6RYV5rDbs/Gn2+uqauBx9ndF6vgFpAgkjS+b7WXXq0PT98jkETsVZ
wLSHeCwN+TPEKjYSuuqIY+0X8zUN7vy0EPNxPYATbKPFm9PvGeLruJKocgE9NUSljdK/CGa1bZQP
W5Zeo83IU+FaRSSsAVTuvCmMUgL4voDlgzeBTs3C31F2dNpMIr6tNJsOU2bhCTFq6KxtbYWXqa4Z
hg7SQcJOP1wdwnm5zjvelN958qpfdf+S0lWso6m0sp8tyod9EFThyUeOca1c47tHfwSublYUZHex
A9qK4hgAJ/ZlG2fHwS/M8Cvj/DIiS4wTMZKROkC0WAHh+DZ5ojpYTD4/S7ZFok/qKYu9iWSfjUIY
MYScX8PWse8B0/r4zIPkMA64JuKmnPWlnQ1aHwFnnCuw2RyS6sTI9pyu13vfdVqQzvQ1PQ/uw7DY
eLeolB4rOj4kD83jF7wiLW60BvdpkZQGI8Y0vxgS0bFbE8dNMcRH8lp615FVhT28ixlLh5r0XqxT
Qb2Y6H0+B+vLtBC6RL6oOGS0kXZZqPlKiCi6yYJG3XsU7yIJ1DMsd+8xtMeTauz1bqbfGrcLB6qR
xxpdjrWcOXwwGpm99h6zqoGBTfRLFMhAP5V9JW/qfrKeSdgq3pF5EzTvMfocZzWfA51nybmhpQUw
s+PwysDFXqR5Q9eeAWQ7P6ROp651IUlGhCd223Noi5EiZDFHMMDQZhfuUns2z2snvqNU8m6lQ0cF
86x1rvvRi3LRE8HXSIuwriQ9KihLO3IZng1favyalj08MaLSP2pTUlYZvj6BoHYefN1RWirBDJ75
TRbTwyiPuI/kLk9YyE1rHS55Ni4vTWUSXiWbNPaCybsBCUx3gPT2cwjnZJcg+H+zWzM7aTyesbFU
AF0caOZMm13vjU1wxcESGj8EUV8EpGV2DBVr/FmA2b8lZ7597DtPIP3nENx25ke61ume+qiCnDlN
0L96g2YHLts3a02Ha1VXjz2akivCOZrYVkpesAAM92vDDGVegvXeFLS0eppxXTSMyQrC31PH2mEO
R38/2PVlwAHBz5wf6TYXJ5zlkyIMoyJrZrV197JYIae+zgymyK1056+0efLYIVb8ETpYiLij9d4A
EPBs2J7EKhhgYsnLBRT2aLBgpTgA3Nx5J5ccsbff5bciaZrjarbiYybUB5XK+sLwJYmtWVsnd/Jk
jR01wWKTiwVnzxqc67B6XE1xpnowo5BTorcvTWpZqFduuCNB9GGWZfoVEC0cgrHuI+012X1R9bqJ
jI4Dopl63VVod/5VSk0esIIm4Yl104j7wbzugc8/rut4P5KwQKQBPjvcUGXscu89F9qqN0NfxCOR
Hxtq8mtvJcwtDIzHEu0Nk0bVBpFt05/EYhtw8vHGQxoM1R4LXR2bQUL0qSyPrdfTEEBYwkAdS8Ys
sYfwQGWHscbTkw4jSYqM13AoJvV1SqAfW1Eyf2S5KY/GZHqXder9T+FX1TfVS+PW7dVDb9fuE5bg
F1M7ILrCpGNsZPtnNQCzD0afY6DrTy/grMcr16s/irUYzlkBP6ErAb9OjPFO41rRRFmMtL/KmYIh
i0udxz5t2vt1M+BhWnQn8DMP2E+sN8xC8zWNhilDHZxMX0WeG6dqndzrWhINYOXuobWLLjYtvBSe
84VToBOZeGz3BMgkkZ9O1XMYpPI4DkF3h7xfxEsvMVt2yY8AiVWM/iU7og5gYkU34tQDQbvO6OJe
pFum9Ex7BMj91O7kitfD8dz1J7bs54wMwNgqC/+pTHgLgyhRuuFIi7zCvqH729CcE+9JT7uvbh3M
erK9rmAy4HNZrglrc16qrkRehqdtDzV52sKKwkO+lMm7GvUCsSlX78x4GACG5PuQ8zid/bkYD5XX
v880kRFz1YIo1Qk4GzO3asw+jNFF8wV0OfKDYr0KQxzcZVpdluHit+C9gAnU061TQQmBlIOHwfSr
l8LwmieKqvLSdAFbvSsYJ+VzSRelbQdxDP1U3uLxOdSeLY/BYqob/HfY1RfXOGaFUx/MzEqviaBk
2bGK8ZQyc0PngM30HjnAciZrFdFKMKqdLgoX7eL83gvWWpyRrjwyHF3vJBq6uHSVuGoJRD24wbx8
jEESVFHf4dFLyt5zo7KC5Bx5qMd2brsun02ZyXcPPpFJmftRpyQd8kZ+1mPdHQqmvG2sG0OddW8G
HHJL45SuCoa135U12Q5O2dzIxULNVjoe/fq6y2KcOrQSlIW+fp3Z0jwO5264id/K4o66l2aNWR3o
n68HM5HsoHMirlbWAVQiVJtZEJinxDbMnwFIkWjQ1RSNA6Iw4rEZAWzqcEoPtYfP8+Di7LWZz2sG
50m/CSctlN181e9we9KTtSTJ3m9GMiYQcZUIEsc+RvHV77qZDMGoY7bx2mWmIjR89DcXuPngSzak
CB1XgbF3EJ+L9CtaQQsLAvGpaOdK65A0K6CCp2BJxgKM3xRk7Sd47wntaN1UYf3sLxmBGleJG+Tl
ZVjo5T7PeuKqYYRYDBK7w4ZKOSoU/mYb4aXwaeEjV99hKC79nc7SZmcMSTEAadLLD/Ihsu9zyDuk
RnBf+W/adwPf7EFbkzwjw1jAHU+QvMw+yK/GKehuOslPt73XvtFvjOxSqwOvCN0hZPw7MmA/5vAF
2yiVS/NdJaa4afMlOHu4mHiCOczd+qP3vGJpjTo0g9+dikAb0j5WeYEwOO/RUalHVcPmLjxo40Yt
6wdzBp+Nd1AjYcnm8eRUQ7CtBnpH1WftWujhSHz7GvtmXp48VTl7fDDWxWx6nDimogTAj0WDOFt2
rqdrm7A4Xs8kkRW84uR87bFcLDj9JfKeXhgkZ5hVSYtmLh5nqBUxybj6jaTju7QAARmZVbg8IUFM
d1NBczQextW80TK14mLo+52yK9rEkBO8Ee+FDO4CdmEkxCjDMOngjIx6YoiulroontOgGt4GSk/O
TP10q5s1fardtT8E28WGd14caUJvkw2rhmKYTDPDl2aZ9t4ozbMu+u4pSWpz2OUtPzoiSzyXvWoe
h5RWcdqJ7gs9LPEqcD++Ni0Djdo3rx0LpwmTI9M42ZbEwNqEjFzGybzQaJNPOIH7ZpcksvFvML44
D03WffirQhon1yUFZJSZaxxACMjjfE2ZuJn4T+7KSldfCxMRYEB/9kjMtkhjPQrryFFoeGH8PX+f
8NHHEkcY1o9U7nhHzaFQjN53C7EKaKFoT9IjxEs5dACkdvAw528rVR8Vv+EyvWgXfd/R5s12TVjl
jyrFe2gCd6ctX4zWvg8Msbd8cCTokPNztq7FNSym/FzboX+LN4oD7OJxM5nGtypo1xciLRI38oTH
h0NS1+5Nt9RfS5YKUiim2YzXwl/vDM3EqAIOhxtvqh6brU4iAdajf4tQjQYdmDaLLCNC2NDCoks5
NUUisBLCTOL8uRWywlXXrk1xjZN0cwitqL11N/v4laC7dK/tMAf1nSiL3sbI73EY6wS7ADbrPgvi
MfMQC2Gb89bvBkq3+V781ivLEDLmzWTorwPZVsvzOhvIZiNj4MA73I9mT1QZpEvf8knttdUyX7gk
KgArkHaA1u1etKjc/qt2pj5zEGPerulyTAy/e66qevnyp/bP/0DTEb/gyAhrhKPswqykKqO74/5C
tpGM0AhMFfMtXFyX4YoFzd8iuXGpzwYImCR9JzXtOBXWlV26B8NRBzcT+8BPbuS47vt22PNRj+Fa
YGr/D/Psfn9vHhhkx9uyAn/lsNZi6hqTrMVbKdWtL6kVk1M+3f77K/AL2ue3F8GPAbIKNYzp/3oB
AMwvHHqn+Ta3oM7yl2dUh8ZvD7+9zP+2JP+uJYkS9E9fyL+4eP67+ujLv5p4fvsv/tmRtMJ/hD5o
L5Cqtvl7d/F3PQdcJMI/TDhJgKA2WQd2mz8sPL74B1gDftx34JDh9eOm/qMl6fJHLs6fjWW6ceAg
zP8Hoo7fwJX/D3C3vR0Y9i6EQsHdg0jkl6cHl6mucY85P1h9ZYG6fk1sczfPltENu2EoLP2lwJI7
HHptVzVEH+26nyB4ZXMt0B121kEam+2t7AIDvVUTJpjZoqDCHPSiTJoqGgKw9FZ2y2RJyUSa7AkC
QWxXoyYxG6khsUrC96XPzmJKY37JOD+qfVWMUBl2jg5za8NGsAIc7R7+n0swTuGGCqXoYtD8aKai
RwCq+yxpjL8BOP4CzcQ3BcLDEhut0oO2z8nyr4YnKhLRDv3q/pD9PIUYq1M/Y01Hq2eXNxjoUbHG
i8ib+mfHsFM/I+kJeWtWNio+Dw6ndHn50731Pyx3v+F3//yF0UwLBZI6VjwPnuqv+DW/sBayMVT6
XdC3KW8k56jyanXGDm9HxtkRf0zt5/BfIkplhpJlsUi41GyhbfnRLr3G7+KP7FlXlTn1mJzBka3j
bsUGgNh9IB1r/ZIpL8GX4q1l592uayn4MSASDLYiM+1H/ET//kP9FTbosG5v9yCIc5OBlMez8NfL
jPtwyQ0yTX6YHJa8J7fJjfaxrpJ2/RtG718NbNsLAQDewM10Vrl4v2bp6aruMKsvyXcmCAim97JK
SodmlskTvth+4dxRTLokc2jPrbAxYT/1p8cyd5u/4yv+ddH+7Z246PLZodFSYarbLsmfrHRQM7UZ
LoX3feoZ1N66BJQN0NXpn/r2FSHlq+v9pxfZtZlvCAYCwkS9tS1qf35Fg3RMv618+7Mau80u02lp
TLQgg5Us2795re25+NNNynVm4XJIUuCGR3jm//KFWtj4S0lS2fdFpH3u/LA2M252TiTa/asUxTiX
mHpkC7H9D+8kHAVYAfkfMOaNp/jXD2kzj1SgK/tPBihjAL0Ljcr0mFgG6qS/+Yy/8Bq3rzD8LQED
Kih3FPOjv75W0bainHG8f+8rhhr+KQ+T5qWyBtaoePBTivS7JVwTk4yfXDWeuXenrFy/FL0vpR0x
HkB7QDJ9UocPRQHy1IkzMler63JKVaBPAIYd3F///vr8yxezUaFRFkIfFIDrf13QBG4Fa6E1/tmg
fuNdKELvi5+T0Ib72iKvau0dEPh2+DsC9C+wfC4WZ2bEjF5AJATG5F+XrcQQJjN61/gG5EtYa8zx
EKxq7AcI+MxY2EiVqxOPSel/aGB+C1h5pVQIVsBYrOkZJMiMgCcLlnX4ljZAhg42Ggt9caHOkuj0
N1cp+PXx5A36YE95TMKAoJNfv1s3naWqR9V+y4IcIyzGRz2s9723KG6qVSNVn45hL3vv1rCTnKep
bxyHzaCBdchiGdKe0Z/cgHXxkxqbK8P255QrgCMBuO/n7wuwk0hWF0wTqfcKdh04BKN7v+ROxUBE
uypq1IDjAYe/mPhGsjrZlmijJ3BO7yy94IfEQjksbzDhKCEiMAMJ18IqCptF3lxzrysOltO5PN9d
xsDpHpVmAdVwxmjHmGhI+pVAwCR0IbU13JpqbQveI42asMEUhxTztexbWTT70Vuq9cs62P70PCnm
Ko99wb+Zo6wpWEGijNBBvjPymLDbRjU5r0zNC1saPOhox7cEvNYsiixFxNl4jYvworD4SU/kCT+S
e35f43iF/zo8DLNfs5lpshhZgnsF1lnvizTkpY18Dvnx1Z63VzOA7nq3dljm3VtHMOJEQNXU5TeV
g8PouI0KmksGTny8Gpdx4V6i57mtfEDxhL7Q487YLE0E8vytCxKLp40T7dBbtHYaWZanPz4AFXbG
R20I6PCKnQlPngvqmg23X7+k2yJWcQDGxdf1icffckYAIIh6WRbqn7+jkx0pynYOMivD6EYsxMKI
aHW5BqOda156kRmLo7ZbPlP6+1V1SkY4Ni4qOfID8zxk5VVTqRFImsjC7RVtxg3FTy0Tj8sioYTx
8Vjot9ulRfVX/LRLsB/9vki8on5sBiJc/UOxTcm9SEJp4ZmamjDkrkktjuKaIQln7Z/EudARPAzp
UAb2lUFfUiPmXyauYbtMxBfGrsVQNnkKKmaLxW71RwZI58RrJg6s6QquKMB4teD52GmPapEPUeBk
WW46O5nwJJPbtn3vvjWxCuwVqi4+TGvRFgvodHQO/5QGdmdPVzQwHH4LaCSHR2EsCBEp+OYHn71L
kb/BW9J8ev7lPELcKXZOmNmOF3sw0PSnDrqSO8VG9uKcJg+TDemLdR5sdRvcujK/7Z2A+z8fHf6B
xArt87YKJ9yucTfVXMGRWSiXcw0QnLS7ihLQOXHkQjiLpdjbbtGttJ6eZdDw/52g9zJEPj0b75bS
caXKIDiM51yTHb0tHllJIVZ0ttoeadym/FJlOgRAohyibtyEKMKenpkmWlyFrPUlRIppgT1S3yAl
FPzCTqHnq2JcEuN2V9t5rpAwluEq3NMSkCukdoX5HCJbCqedQKawrUxZheXwQI/i4JZhSjN8IGjO
QfeUbTGn6QSB7t7VeuH2D3o4xc4+rDHjNBQKc+vBUCPmTCEVHaoOT1xS2PldSwYoGC5q9e0bxteh
TbzRPMuTcc6Jb811tCgsWxB8qr435ktJCgLvMTF6vpsOWjYJ6k0vgACRn1NAGnwK6y5xmtu2J44z
iD0zd2Z86qpludkPdlrojtSUkSiaaKRuX6aIjHJ8p4ldjG5KjGjJMut9rrNroBpnsdV85rBYsJ5l
EREoWZZel202Cv92WEL6/7HOi21J8QdC2+Sh1EQjoUeGfM09hGeiK9NLi5mLP+usaSQHHnQ7SyUu
Nq7SrgZvYzfRYhpi7G772WMWeSgQzvItkalksRcQ8Dfzu8LO3FbBkYvPnQvKJRmmgzkgqmXaSMeN
PxtUsq1LpTnVy0M4FFtFmDljyvIkHVBZ82XIDFaHiavIsyCsoeeGmjqkpu2Zb7/T7iVAEe6cAgTK
vPFsMUZe2hG0DrGC4q9ir9cSuTxzYRfsGnbnattkB1QS3I6Lx2TQYFNWmvVBB0zjUFVqJSFd6drF
3twNDR8paBUKOiSDW4llknujP+uAKc7NH+cQVv3t4sxtZ7fhsVSsqpClsgLj4nks6BXJCItBuoOs
2CR7h7AfGo7dwoen4Yj8GhXy7POOUQIANTi0debzYBc0RLl5gpzInzL647auc8xVLDJOa3Pjrvmy
Fc5ea2zLPa5cNi0BIYVrbPsKbUpEJZqaPJ9GmvPkOkHi+oKur/DlrZWz7O76ELE6o+9VaO/daOZK
PZn1wjjJQiXKPaRoIV55jZzKg9dOo/yUNXvMRWE3cLbWqm/HbYOG8h1xKDMDaGRt9R1xxKoe65bm
88eMPGa+W5GSmFsIztBeUM7Nkqkl05QtRAdxU0/m4OwG063qsgRwDt6eWlzbFdsqAudhEnHHd6RY
5En3XWEINZNycJguaCQp6Vc10xN0fF1ZIao1Qw9voSVG58mj5eyQqtA5oDMjRIUaQp8M+fzwT3WS
DuchYyerYn+FsLEC36tWUx0SskLby8LDgSpkKG9m0xTyAN8otXdo35b1OS2srGXj8wb/qtd6ZFLp
wBiLQZmHLfOxdMCJa8CYInUIlwlYd7dK0aDYww5g47xekrAxzaOYCeI8JHIRBOAOfrXm+Cds17iX
ZVs7L3ACoT0hJkLk3O1DEAXL84KQYbgx+qExHh3D6dcvQ8NdTe6u56mX1Z8YMWJN93y1DbLcdF0i
c/KltwvB5JTHJAenARHDCeo2Cst2m8kjTu+74Juoi6BBdCLbadmV3qC7H2Hh2iAER1+2fgR6zh1A
qSVN5wa7Eclj5R2T2ii9W9wpWCqODJkpa7MfqB5wdoqYrOLRwk3tDrgn8UsOtpHeKosPU0Bs+K36
xsubeOIR728LGmwG1PpbB9gGQPZCeIaUzk4ms0ogBpqEk5YnPW3mY4DOMw+MQkbP/c8IrKCCUvYy
bdtKyELCw90FW/lIs3viccgcb1vhalgvLCU5ucUiORS6Avy1fTA5B5cVzxolKUy9ia3HzfD20xJq
XCimR41uaEB54rZb9QfLaTs5+IVYebfameoqPI4IHbxXJDyEhB9JTvbRSaXGQK9Bjp3LMun2PZV9
wMBbWkdwM1TBs0ntZsShniVrWRHAQZovicGAmj287l0T5TcAUvsEGaeiJELlY7OmMP4z+aDUJTi0
cc3XalsQ68pij54DwKEzgmZ0WxsTEax+FQfdvPBOVZr5vPbor367Pk2O2/FnGI4YG3AwaxOepd5t
Uc8e+7DY1snS8St+xCpEyDtqEtnjhgnJhuFHwmRitbGGUXnf0Ns1gKKswm+u07aY2BYHKbdaqpH+
VrLgmt2u0dA23iB+jkavSygGldiINeyH9A0iXyYIK5j4KpfLzxqutxLpt3aP19fbLvXHDuaIlutY
tubWsfBQK/HuhQ0Yh8CCFGxye9R5zaGjGg0uLMtMsb2Dsce0W57+eSXQdoOtGiWhh/SHmozf2NaD
V0OBFI1mKEtBtN2KOWIhziz1krivlRL0nn7/GtkwhfjC8W8cnoMuQYt/wOAk+I7GfvKFum3Scpqz
+3UuzCR8mwB2FeUpw9xck9VNOTo9r761VbGM9Lbmk1LjlGdnaSLqEmyURU4JPlt6O8iTMc7NUtOv
g4CVz6byh51TWlQpqZVs1fzUSqVcxIRpPwX365AhqCZ11jd5P3p1tucAj5XJR51KisxntOnbI9LV
3dbwarC59ftkcrZCTVQcjfMOvyos1GRkfoQ93K+os9Pfd9dsmlI2zRG+Hw+UbUuqQM9WW705eNv9
mKCypLLGpcVRO1kBm+mYf7/99OZMW+/nKvDZLkXG+7LiLPO30hD2CoDcnbDl9m5/fzzQ2fO9VKDH
+FJVz8JXX9vgFtL3KZjTXJ1c4ZegcGomjdymuaYmwLuunO3erRorbG7qWaTTsEurPhDjFb+gtilq
5xZ8fDwaU81rAWLgI5hyyrdmhdhK63DCrf6Y+mGuPiY15jbK+XKUA4sLVCX72pkF7OkI4DX3WW1a
2yGwkGhCnk2Bp5XHyAkpLzl48j0PGpvUxZ4tzk+eH+plOi6W3ZUfUybQLP4f9s5juW4kW9dPhA4k
fE63pzeiKFETBCWK8EDCm6e/X26pzxE3K6jbPT5dEVWlLolwmSuX+c0ajUSd+bSRCXWIAU3Q8LSo
fGQkBr8r4gCcOonBhK0B1VcZ1Ta/iqhZ0Fc1DGP6gVhhDSgJQIsJnQ91y2AzxE3UGofAU3b/4C25
jUKOMQreP8YAuuhGFU9nYc2E6gEC57LRiXykKtZH2IYRX60raOgyVQyMRaI5M7glOYoEmPDIW9cR
dxE1Ne8ZfHGEGHX9wHLykJ3jB8F+06FSEZO9A+Nu7cwHaZ+lfxCBgL0+ZwF51K+th7SATq1yo4AR
hGgU5Il60w1DqxdGOer+kRHas16SOAGN5Y3pTFNZ80IWXXG7sMN5kaNA9y47UC1H6grcP2KdywwV
fx/G5dTfeSiNt2dBP2GIBBWPmoKDzXDID9DRHgidjC8rfox0gPlLSBilzkQtLACJM+OvqnHKwPPH
ZzW2LAQpEv7eW7d0rqx8K6NBV4G/Cos8XPRNV8sEVmHNLpu1smywUPE6Q4DG6oYiyWT1j1AM+KSJ
6PWt96hIgXOZ4h7m+BZZUCe78hXNEX7jMrOiQGfpgNXxGY14PWUt6EXmX0m7MBmIkZZ4tqtJV+jz
r8ghp1YnuoXI9Kr8uGv0Dz2jgJ6gtBno+O474zWkFYMRE9Dx+xR2us4cYiPHedHAMDuXq7ZveN6/
XPK0cU6bKqA8dXQ7zwpInN62IGdVYsrYed131xv19ObX0siRQebo+vjp3l8KkTlyXFsPjBhNnXRW
rThSy0B34nvihDo+gS2y0cmZCNbEro+vdewG/tk/FrSOfWG7lg8r9/1UCjHqNh/zzP4+2UVPIdPH
WjR17XZOzDZEgFNwFi5eRdDoS8dtaaIMeR3gxdZZ1N10IfRkQ1Ly6tjzKzL/nn2UTaRLhNJ3W84E
hBlGfvXx7b97VSA3GflK4MuU45ap//sfvf2pwcs9Gn33uQNayH1wQOmykMOVEurjS71bczaNYdyR
PSZBeDKf9rtJoyABkUA9yxhF/vkQzsAkHsXi6y3ihRFg3L883OkIBVNRrNssi0E7HXbr1Pq5qVvE
/+jfPyvEu/npHUJfy22fENnvIwvt0nkTSvJ9komZX//MLR8WMNEOfeuPn/30NTM1dV09y2BM6goY
7m9f81h20wBcxv5GT4LScYZyOv9As02X8x9f6fQtYzNg8rS2CReVCdJp8zojMQxsNKi+oT/kZ1fQ
M/UBlaRUagfg4zpr/PiCb3kiDE3gnNB2ZsjrMuGjffT20boUzHsAB+8bAsK6n9zYoQ5zBMWZ7xo2
dT4hXYfWVyzXqHjEnIwf38DRhOjPHUiqZVvaEMkHV8GjW2/vgCpRS7f45TcAZzMKd8yylmxL1yOW
6ZFQv9wOgIA48zDG1fH7d1PccDvd8iq8DtXcs/HXyylSV7d4aP3P7OIKDzuqhSUPYGmTRyBsrxXa
OiOAZQ+kkmjtj64+LAc0tQBhxqHJxl9hyqr7r50PIOyHGMGdYIGV0aLbBiTzVneWMFoOlk2VGTq3
aodWp11GY+FoAyGk1se5pxJyG7+19REPKENxW/6vBn1Lak/UzDJLJ01p0B0zPkvoZDlMi5RIYrYY
edAei9KGzqQ1TINusoBJzM4/fv3vFpzv4ELmgWmRlv1+afdUFrFhLvNTFdc2OWuk0JGqNshf6wzg
d8v640vq3fLmgxNqcWFlRoMJGgITJ6NuBmVzV7fB+CQj5CTsbY/CeHaFrKiVGddma3IHkBZlTxE1
iVAnhUZe6Lv5+DZOn9zGBdYkcmo1ffbcqfssvmJId1pd/JRVtD/PwU92xWcrG63m0mq7vyBnTiMI
lEfXt+kUeXbAvNI9WeSeMCMEF9r221CrdHl0U18vizRVOrP6+Lmsky3NTw98D2aE5zN5s2GBvd1Q
0TiZeV4O1mckj6FEhLQvu2gX0Ual0k3SkdMBK5el4B8+DRvW5eTa8pFU2G2ClaKtSwuGkkfP79UI
GJA+wgJr+8FMIiqUGJdrFJCqNNZtrcnQbYCg8yo24QBkkDUMc5XfrbFyPJyRuZxFUYSmFGFlQGWL
qkogrFSfoSCQzACIKjNyrj5+CSfvm3eAv7dtsk8d334/MXXdqJOFB7mhL1J9MocVowr4EyPw68eP
L6Wlcf9cz/qbErw8ABcex6J9up7HStFTFU74gJPV8Vo96LXrbKh1qt8T6glBv2bvOSAd3kIJLYzF
/ftXzYCdSkKBYPJyXcfX/UxqQUWks4o2pKNgoINmLJhmqxjfClCe2bifbXQH7C2OXZTHCZJElCW/
B39Mi/QQycCTh72zBObCfxuqQn/wxU25inGcjvu/WhODoAPabQw31l8yFWQt48ofCPzVBlsG3Vj+
PUJjR7J2gZTr4jnE9ZwfOItipAXy8SsN3n4+TGNQNrRQIkachrMQ1N3bJVzzBOiNqfBHPtj+17Qp
8UyzGI8evCxQDj3+uNtFziTRSE3ycKOcsDwUVpY/QvY3h6M8NUPTyEb3a0ZPCofu+nNI/dre5lML
ywl9EuuQyPSuYNT2Y1BOq1ZeY8TzmlmOdzO4YXURm0l7xYkUL1TrMWZOBjTtLwtz5OE8bAAlo4wi
TWdD1zB7NBajozjIJ4jdrWxuHU6lbOfkhn3lz82w6dRcb5mJ54+QAJzzHJI1wx/V0c6rspERXgeT
EdQEklZThDJIv9Sm2Niq8R8szudnFSNbvwobL6aFEbXt3krL8mH07f4xsSGArQLTADVv0Ld7ynrZ
vkDcbz55TtuSFoX9IZ36dMeYYFZoIDJchuQhE2PVO8VwnsPv60ZgfasAItmXPvCwVQvCHg8bmCAP
S4r4GemngeGdYThr0zPv4P+Y3625a78Jf3E+x72LsfLkwfb02wTCxZxcfLwi3gZrFgRjZYKZS6rg
YGV4CqfB0ifzazcqX/hemBdYYZltvbzCpsprTO/zxxd7u6F/XcwHKKePeXK404wkXBxSu0aWLxhg
FmCEJvMBqTyrXRVFdjU4NlbsU1QVd4wI/ewv+di7lX98TLA6jGwI4qewid6FUps5TfGCdiGFq52r
DIUxWwB8+/ghjz/pf4/h41M6CNyS90kYzPIUpaPpv9YAVgbOWcWesS2tkI+jtEg2U5z796iRhvdJ
GxoKfLQr1cYeVJLvh8RFijjvgH0B1vNuGhCh56VR+585b4HU01fsHouC5MXqygJb9044d+aQllAn
7OCypD17N1iz9UWm1KnIHQsTgf0surELLYVr+IVH9yZjFidGSWOtkfNLWkUdo4S+2YnINZ/NqbPX
C9/vL7nQCQiPV6LTANIg3gve29ZpSiAMv52cYF5eYGTy8uPEjvc4t+SHaZmecWDMn2xDTpveihh6
oBThHRwsZcrNx1/G1dHtzZfBqlNXdYABAY6B530b/VCuKBgfxP5LBJUJgb2yyWDour7ctExJ0DZx
iungFx06jImhCqY9VXGApiCvBqV1snI/Mm4WESG0h8UW84kQu4SEfvq6yYyrZC79y9mekYoo7Ad6
oPlNZfDRVh6DsXm9dBNjl7Rqw7WvpH9P2ogTwegkr7OXJtc2ilL7jE7xIYnQVC7cDsOpKmz773Me
959N5FHvjBKFPMQ/xbizrW7En6FJogdE8eJ0jcgEDxBPAhvFLmIE4Kd1yiCEM/ETWqjIf8ez80XQ
1Q4x7dO0ho9f7ltYEp+Yd+vQXUCqnmrWP8VJ417AeM30w5c6cdxro7bTR0S65xlIdmnCbNEOHB9f
USAEcPo5yQ0ocYRlA8FzTqpHgT44hBCV/oQC6pzTNsPIIuxn44JGZbpjENER6d2oeVG2mT8m0dRd
gsE374xB2ruP78V7v7RINQmfVmDhpytOwYDNWLh47ZUlSmAMGKjbMQCpmgWOaF3MLrwRC1ol/D2o
kp1Lr3CD9xckaOCwG/okErvkCt+tTVN5/tekQzOJ1i8t9NJo46vMQ/ujtu3p2uvj6CxCZMDBoE5a
46qdBWD5CMkp1AZFgABzscDOQgxY7dKsM66kJ2Dg0cowLr0WbzBkvzjOUtzZ4KBxeuPakmSXBWNe
Mkq7QNEzr3PUXeGBMcNl6Pnowgjakou0nzprKs/iIrebVeMDl9EytGJZe3T9bm2ZwG71QdRhhAKL
eNd5iMutW7APV6OCG46ZkfLA1QZWhRZz4I/N3vQi60vXVMlXhCE7FEAs7HLaAd7y31bK+6/jUCeA
uAYwx/c5Dcm2xSQ0m8bsZ4DRAZ4sGM99B+WhdfT5ZNRU/svS9uGZVxrf5yGF0Y8UAuzSjxfJPy3Y
QEOQOfrQoaI38Db+gJRqi3bx858hSnX95vhBPPz0kFnLvW5n4jfzUDdlv5vh2m+VDKenOGgGxTpZ
xMNfbuYfNmzg6N4yoQOs5Slidyl67AenLP0Z+ab3CSpxew8538CzjSSDc7G/7vO6O1dOWZzlky2u
utLnIPPzbrpN/DgAkFyOwyWWXvYryPnaXQV1kn36y12+Sxl8D7yryxYHM01RefLKBqQsClk7/U+6
3nX0mcwCNWA6ifOqb83hGrGajJkS6sfBJmjc6jVeTB8V9hAm0972q/bRlXl0afpj9tlCL44JCafA
rkmbnNcdpf4auVXj93r7P57Fw6wwPXl+KZISwzuKlB/dnxqYtksT+48P/I5o8eW5jROQY1X5D3/s
32wL4f0LVK7reW4g0WzRCiy/1TPpj/6LqhNLe2GRyP5mWjha/MUCEk4aS6fK1QSJ30wLx/2X67jC
luhzcD4J7u4/YFq8zZWhcVCHsgbp6tDXsN5tXw0hYszbe3fFAMliXSZMYEArd3Cix7r99seLuf2V
lbyxanlzuB0vRv4ofWRtMPymUfo2VkTu5AC47py72MCRsHQq62HuBvmYJR38MghL6ikyfWzkBhCK
/8WlaW+Y+LVjTXNad4PjF1NXkV0eLbdKCcL4COeZtn7viQc7mPADa+mIo5AearnFjy//NjDpJyd7
oEQF3M8khrnx2ye3bEA8Ej7YXc7OTNDEGzimTLiU6hzXSi43FfghfHxN620u8fuiLBVH6OPbPy1N
SlWGfaSkdecyHXsoyTfOrMJbcLuDDvKo60l0k7UXVC96/CRhuHQvnqJ3mhse76GmTbNXfoS9dWto
VeBlWZxnsmIUHUMX8MDFoEIcthKMW4AHKMFZP+Wlbf+lyjltUel359k+nX1L1zunB10AVKKf/Ni6
EyAFHrM+dxDipie0C9pJPBzt5qbMbV8+fnsnA4XjF8NTCPkwsmrd+H77xVBe99MJGvgdQv3iocRu
bF8zBX0106m+m/ENu3cdJa5JtKn557j/zzh6x49HC5CkAT8l1s3pXhmkLDNAouLOM7zpHiSMepol
JqTRUIu/9BtPzvDf1yIhIJfggq5WmvpzMhTOPvg5sxd3DhZq94aid7wDjKwlMGy7fZkyx3lGg0Hv
TrMo1sof2SxG6k+3aYaKxMcv/n1EYphhIkMFKgBWyOmqtRyjApQYmnd9V7NJHJQ4qkurQ0Ya9mcm
/4tNQvKk9yV/Ucg7b58dULmZGPZg3TUtY+ESlP+ydhinX/S+SWezwWHWHlqcN+qEVS7zRVwXiNfC
9k2FASg9XaoLwxum+wg3OJzeyaYvu2yQW4Ek920cD5gelXPKLnMDxsbnMkaCdvfxKzsdTOrFSgsM
3p3gqJDvOh5Q4cI+mKW4wysINcfFb5rDcd0cTXAa+Ds4BIyEXPA8lwXCJdsoWXLcVGZZH0CF41uE
9mOd75dxwdlPhFgQBw1qAx/f5z9EQfgitLTh9EEVO+3UQZnoBy90xB0mgryQ42sWTDuehBmKhxrg
zl9Wtj5B/yinmDyacNKYRWtGE8jv0ysy8LRSM5vbOwDr1YXbFe4zOCr9Nxt1q97E4aixPSyBwiQE
pUHrAduTEVTWp6TPdEsFQsqLDdLuNoW4sDeZaT4hA0rg1Gvi+IpaTg1vJZJYXgIpwokJgTVc0RPn
zPI1Lpdh0V/6W7+qwP8t+nksnoTvzMyTgQyNiJNFuyBkipbMHN1V/CkkcOcFaLVvoOduMy85lEM8
jNp5Ku02lmvkOBGRdMY7GSPqhSqpiQnfPCkJYswatmbR+bthAT5xgHmNXGMpUHkFyeGGy8a0F4kI
QDwan5VBPx5ppwqQ7ciMz13TmI3bDWon7Ay8E/otRwDtwCzNsa8PVHnXl118EbQFmsNFUF1TBvn1
BpiuiVIZiflXMfvZjajm/IeZtWKDWHODDfa8YKUJ/iZ+md1q9rBpi0ndOs7vc3rAKBpQiKtbxHsr
9GeQ/mECVLXYxpDAg5zyfUM9Iv2cjhs79H1UpZkVruo0yqCwW0M9rArqZxBsnpyxWe6s4DuTUhxF
SuZGwFKg8qCJgLRic2bVc2KchbTfLvFRQsUB1+JzZkTy0zwi4bn2cYto7oyRJtEK3yZ6JjXSVfG6
AJWgbv2oyJv1hE54uGH8LR+juOfYzVgj/gx8ADzwLLe0i1GbJTVgvIhQP3dXue5zKxFRW5cB0YYU
kEBMs2a6b7EfRV8MgxBEnWyAdAEtfzx0RJr7l0HmZ6jjhSIWWBAsZW/66tyOzHS+Qk6ivgR7HCDS
MgNbBritdSocxkzXQyY7xtMgJVeRFZt71GObjbQLjQCFlN7IZFXVlXoCXLt8RYs4YcCISAbDDev7
jAnB2k3wjaRwD3eWltQotLhGpa1g6qPghpbeiHqtwrFoQQ4TLA84w7Ar902k3E0hUO1gYRUmWhMI
DyLoAVRqXgWIfDi16TFuSiL1YBxFQAbA7SiCoNar5UEGJMwlCyCfK39T+NrwFqETZiIeXjauBIEP
HNsa8dcEIJlgsAlaHB5ngQywkOqrEQ+eze1maYkcTD0Xwc4wdfKzuNN9lWW8acTnqgszYshMtDew
OAtooqOZAgwUzm2Yf56Mli82hx2HwsyUZT342L+jjEysSAB/t1DDhO7tl4jNroHfqifZtHxZJEv4
qEkKQs80GzDpgJ1xUY1aPn02qCfUpKO73g+Wbr3MnvMcuuNIC9X0oRvkGMemxeg+T+EiH8GrtS/t
EjtnXu8ReFCBvvSdAvOtJq5x8WWHojkD9UkB2HK5OSoOsN0QAR/BRgSbDG+iC3yLrIfadPVvqnJ5
2XUD8ZlwFoar3JFFtBFC+8YDU+aZkMEX15ap/dgWH9rILoDW8KwH2jSCcKpBuiIW6TUS3YQYCWDj
MqrxcJUwVe5hrXGoJwYR9RgjyeGCy9DlEKW31xxChu4vtdSvUjaOeGjbnn893m3R99jSQsLBRo60
04KzkGh9DJ2LZLnnNDdlkTGTjgZx3S98kQED8YvZGsXDILCQtqx0vu8Tyg2bYdcD9gAcz92EC/us
s8fZ4t2LYuah2JJcKYsHrOEqFkOq/21oZq2Ak5J9mtngPjP4lFuaIu2LyjltaxnVTyk+zYglJ+18
f0wUICqX8zmuMN6zpZ3iUsThnpqam5kwGX5x7NznXZAOnVW1YV5jZI/HRxUi+wbpqbpkGfHtLH23
ZVVz8LRVc8ANcro3U5MkvKrgL7giU09IJ3Kaz1Bzmm3ImPPZaxdt+lp5jNvqtuHOB/4M6OxqRJAS
zheOrMcEp9epSrakeAsfix9bpz5zKtNik7u4Ea0dI6sRElFe71yN7oz1IYyL59iH07rn2OEGlTWh
/B9ASki3qhDh99yAE7gqj1tIhC5A9gG+DWkQJ0+3aca7wBkZOsmWb6TCgOSOX8pIwyRBTRHb8E2w
z7IYT3YxCxID07PP8C9B0xiNjzMep7qwBzT6wPXNMwotOXc79ABNx5ETt9PL0y3xWTQjsNdoUmnm
fjqQrjoAXPsrNUYGnnBxSA0osNECRRwzFN0G/O/SCl0WcOdkvLNOBPJxGhL/Ic2COt92tZnswaew
RvI4d5/jYuSdTqrg+Y9BIMtxjZmTkreSZ4m89GbXPqslO0x5+vLF2AXrVO96+rjqKRU4N4JNwvON
U+pQhzZfNbGY6eYc5LyHkRRUlpg4Mm2cbidINM9NADUjM/Oi2FrJgtNj5LLjm4bOETNGVqJDA7O9
GBNCgCvI0beiwXGLnLaO8P2ZkP04Cyr9gdIa+fGdVYX1oWiEfMTqZZLo7i1GC4iNwd/KCnpyIAus
46fZTN1nbODFg2UE1AAypQxxpkA8jOhI4mdq4VSAtH6KHMGcSPXkAQ6p17UYmcDpJ+QkIkduPSIQ
LJ1kfyx4kXDB5kbYbNGIEjUhdMM+oaR96Gv+T/rBfJZOZ2kLIEa4I3p1Ho/NeTFZUYqZKY3XmGen
RSwvSyswVmlvFZum76lk9Ftr1IAVXzqKfNk0+nZij6fImH8/qx5PCyhokbzMs5Jttcw2BjT2Yu/6
NhfBym0jwlGSsbksB+08PMka117FLHmEhLTTIkwzz96Og18f5sTNi60r+9y9n5qxbFCjglwL1Md0
n51JRxZ+t3xkREjZinTWWVZXBkJ3Mhjzc4Sv+NNIp1n1J6YAI0sEX7RivejDBT0KHfswDzSQqhaa
RKaGSJfkTke9EhesieML+BWLdOGOsgxxQQfWJvI5cY5rF0V+jrWpQ4t/8pP5e8MxdHdcnw5eYPuU
RsB+KKHhXMGcZImAm2dBudlwDowDvMevBYGHVfCqYDoO66IZmgN283BNZ+U+RygAPxxXhUcXFkcx
jNyuPZzK96LGMQKaCi8ha3GsxMuoFJAK3ZJINC8Z9K7aogkBqwD7y0Q/kDEWrL6kwc+6cUb+20wi
1GyI9+JaODwCS048uFB8x41A9jFY+wyl7i3oO/YOUtt026cV0d5OxI3rWwsK/wuL2oTo3a+ZVsMB
0CWek3VZwVTK52XjOK6Pb/xfIiDMI9tGH0B0ziMbJ1s1dASFKmqw5KiNQBKuen23ad+xzex65rqR
mqd7yN+NJrIClJHTTOLnHsf0MzAFuAJoD21SBzw3EwdDQfAQQTIdun4o4xvMDM3qrCSMXjcmMC6K
Rm0HGiUVq90U4dI8dG5PEhIZmXw08RLYl5h/8Ly+HG+d3vI/9cFU3CAc/SM2QmOdybQ9uHAjVz66
9hdjFqWvkd1WK9+qwxXeWmW2HiqbDTxxPKaJ4kSasXtao2TbSTKU2XvE54X3nIDnWFXuuEx7g2H2
TvslDshuVbABMT84S5RKr+CICbHm1EQS3bamQylUOWtx3PIqrOzqVU7a89azJoIhSWa4alqrC7bT
1Hbmea2DP6arEY1IxrvkVL2DKYaVl/kZJC26MHSK+nWdh6PxCWoXn6cpFH+vpXZotd1luqUDCDTB
Hgk4jQ7+9UCOw/xouq9h6d9nESaT0A4hRtQAl46FcpazCkb42vqqepRoNtwejAiaTVZFfuCEI3c6
HQ+TMCZuL/ARs58VOSani1Rym+ozXBj4LuDzwQo6FoaRGZUK9EYKT7FhQPZQAW0PL+inNQc/ruRl
IiPnjEGSuI4mV8II7NoXJO6DjYcQoHba4Ltqx4aJ3j6HW19ERKvFS6yHgSvj70eIRFWC4Ag8Gk/G
GvN07IUJ6iqUwWWBN0exCRXtqxGDkKcM+eQVGgqkajVbqMtZPEloZOdG5e68SEfmZUGkHnfpOD5Y
bpz8dAbPbC+gZLLjOgOZMDer5aXxK8Oo6ZEYnMxFBrPtzPeZUpxRsE3doaW+WQV93+yRqUEmkhE6
PiBt5z6bGUMfxH9AaOPbg0FiyHiV1M/g2AhDi0qi8DhYvGH2HmI61pulxktYuRP7YYl0ODimzK5Z
vDJom1Z0yQpzF2UFRt7YElo7rhw/xA1grinGqy925uSz6qNsw9QOq2Bort2y40DsfYgVUEKghSnj
lul8hZ/dIstgazf2dLAi1/ihkdEvCIsvP3OyytcKOBDp9pijzOfNFhLP2IAz/qr2Oc2Vr+DrvGbT
h2Eer+oass62rqb63LWn5BrqPZSD1Eu+FKqLPkFMG6Z1X+RMklvX3M+BO19LW4WfY/hoP6p65ie5
JZgiMmUsuBG0NahYczMaxdoHAYqPixy8p2N35v8mPH+Z8FgmIkp/NLLeTXiuntv2+Ufctz+7rv1z
yPP7T/4e8ngoammUKm1L+pbA0ejK/B7y+Pa/XJJUF+2X/xnn/HvSY/0rCOiKBfwxk1aVRq7/e9Ij
cAZgXsAMnvmqntH895MeTcYQKEEA4RH8u1b3etvolPbsGZkyFEzl/DWuIrk3ggpTm4CA+cfb+Ycx
z9um268rUf45oBWZa4nTDm5eOqWzTIIrQdBdoTT9TZWM0Mcw7v+jXvGvK3EN2nuA02ks6jv5g9IQ
dQYnosrUoRuzHgN486YdUFT16r/hNv/hkejFA34Gu8ljnXaJBz8XEuiDOqCA+prl2SuG6a8p//yP
3xyX0RPHIxD19Bt1HhlK7E4KKQJdXQY10pqxh63zlPwXr461CnxAg40DGDsnrw54BQhUnmjA6+1y
MpFGxJ80uGzKv2lKve36Hj9SADMD7A+TL2BqJ81Kf6Az00lsIuMRcK3Xz/dzNGn++6PSh/PHb1CP
Kv63M/r7YrbnMbaxaMSdDtoM4VbszUodJKjxDfItSJ1A/FxVRvJsBkjdJ05jr9As7v7zpRjALdLt
d+BC3umn85qqt/K4VAdVJ5hpN4i6wncD7Immxl/2l35h756RjJWowCiVXf320y192s9JVaiD0dMy
KXqFDo1lhp8+fpP/tOSB+v/PVfR08Y+9RVPdGYB6cRUa5hdWMz1i4FOel81/9+r+uNJJZBqzIq6G
kivFeT9vAOA864ni+v9je5nvHwq7SUbAEqymBjSerHp8DV0Y9ao4qAHGuzIHeoYzWkW3i1PMW1QC
ga/LRuxqsMbACUE1HzuzdJ3K86Fmvr/GNmSC2RH1+P6V4w8/TvD8SUP7jLG32PV+9joDUTmLFjFc
KR+530bpqsOSVY2CPL9ljnEuMzN8yXpOjIM/1cXd3EgL4xSrOnPDNPw2FMO8GcH1HfDky1bVXMr9
mLKeMwRdASDNPagwClbYozUpZNfFSCEhVLftLL/8hMWfQ6N8GX/UIVGeORT37gmukjokugFopHXs
I7e8pb9jfj+O8JKW+znmdQXCDtpeV+1wb1A3sOpBdgNI8JBIZLoE2QdBYDrwndx7YYP8iBlOW+CW
wcaAtrIuTJ5ugbC8KlK/I1kpIQZpd3FGD+XW8zgCoJfCO49Vha4UoIlzYMXJPkXk6UKYXYXkOnqn
gWRk5eem9QUvDPdiikT6LQqq/BG0J4PY1lZPtVdYX+BfUpXTA1RPKMr3C/c0kJTDn5fd2oaKaqMe
4lB0IrCaP7ZjgBSJ0RZ39B67byGv5iJOa3Xj9emrKfimaPVYX4ogeZ3aMfzUeUt1NurQGLeMe9Ct
oHhpMJ+kLpMyj2/ThK58OjHrIaJ363CgZTVEub0iDQAbSJpZnicRyfkKvZTkOrKVvEm9qHz1DLJ+
UaW8RNoF5QafuiBYHZd93kYA/0z6YjHV2RZfKh6zBw25OEDOAcFFD8GCctwqQovnm4S6uiqoZTah
G+umXTdUyxrpci/fJ+gQKKwIByWxwwuHr3GoaHlZAoLBuqwyaibPLJtLA6vgL/Tv3IepzIpXi+Lk
nGeE1twROYFU4D+DtMBjZWmkRFmxflx6GggVOIjvrCjVAH1iJUcbalLA6JkF0AgOGcrjG6RQBTYi
6nsz9eQjShlsO8dcUNx0OOKWWQYYi6oBsXfa6jEqGUY07PH4TJ8lap87WbKPPB9M9wrVoHzfDjRd
RrLfr0uzZHtKkw4ZdNhUyS4lXV+0tU1WU1ZGQElpQojvi1S6rGJvOYaGK2Dl3n4e/I5pduq4jGJy
YuhUcbMoWNnnngkiXdN+jbXI+BKw2LJvdWRhfhRCOGu0EFHWpK9WQNstRMvunBsRYI2LGUR9S5ke
F158HWHRt+0jTVA2+EK9zdHX20Q1wG/BhpZd+CmFsp5tYjXFP0sFepkZDLMET5ctjui/qhYxN7uo
kGqXPQthGYPyXENr21CbsBuduW5FvpdN9BNxB38Tt9MnxgyHrhq+Q8hLzgtqx20fKu+Co9C/i3s2
pcBIDX3mfLgauoYpcMY+dwLoUpbysy8BvhYX6D/uCgB96GVNqlsXY9ZCP0tSBNC7nEV9rI7jXM0b
uh/4xZJU0g1h14PMQKScju7KbgFaLg3RjYbnsBf63FUOz20V6TPiGaiEQ4l4pp4K7uyB/lZFYfOQ
OqF9PvWsqIyA+q3XNa7JcAd7Rh7fbWnRrtDzkTeY8Y4/gKTkaLO2xJzYyYI74aGL7Zj5swtodXMc
eXtUU3do78AObxr4n74u7l27R5+uyppLMfZEsmOm1cum3ucATjcpgx6weLAYPKgqYFdpXSZt0K0t
IcYfsVueKZw7MUJAKH9AB3fbJPmNrbDgjkcbS5m2UDdtrfPqyqou4CqymMYaeMiqEM46Qz0DyT05
buAbie0x6o5x8oSemUBllGg16DXimsz9MhTg6JhN0W6YYzrwqF3jrIva9XUaubvWSRcaN421dm2G
TahZTesB6vHnZOINLX5YbvASamjft7gH8oX13JeWV8Rp8DCoKFwHdODOw6Uv7tqe2GNERI9Rsumz
oeCdy6pHKgNp1Qhvrms7tMzvUvTdBYah5KNVfxNgdXNoPRNPYpoZ+0JGxhXouhsbvuNXI03bmxnZ
vKswXb4kpj1+CTI6G8FMa9LRgmCLTJYtYuvFjUJ07TbPnnyk0Deg6F8rRCrXTpd8Zj8/NoOJB0FQ
Gds4Kuo1zWB140A3zTkWoz3B/bvhVjhu+Rx6CIg5Z0YS5491SeRF3ZIeWUGPOjFxH6Z1Ms7qV5CF
faB2C99gR+01ajNAbfboYK0051MPPch1mj2k0pUlYjWuOoRW6AKC/q0Y9GrbrMJKZbEWkYlZ31ib
EvcfHInLrCkYJg6ItK/QHkuKlR3Vnblyw7HGD72wMCPBUGWEPXleUcijWxf09bmdt/2mZ/hk5Rta
mJXvXcwjgroYXpp5Q/zD0Si8r60xoQmYwaXbOwz043PMNu0BO4AiHAIEC/oKrQuvB1OzJhdvesxh
8Zl/bec0DlYBnNSfyvUioAqRfzYFeDSsATo0aI7UKNjULQp6vAM/m2kWN113W3oYv4F/6WW/Bgee
bjtEMZ3NYvcCn8NWtN/QBMNqpJryT2NqT/lKCWyadXLtYEHpzwOqgGm2SZT53Qn6g0q189SMSAfY
/RhBNvYXgWO4c+GZXaFXZmgWbTFxVlvznn1qocyQtqBi86A7WHXfbTFUfs5iN4OJa2Vby6xgRPm1
+FoA477uOaMFbbrG3JS0s9Hrye3lmu0a/YhyX6A5LFoDvsMkSS0NpOAmICM7pvTEN8cjfEMuZuwI
oAT0rSNzd6N44EPWj3SGg9kd9h8n2NoC/W0ejzgrtT9oSBcEtQZyvsmwUeGLHBC/+aHmAN141jhc
dRFje+0BSZQjtbyebVzkVtZCXpHJprpgw7sXHdP5ZCXk3wq1t0A7aid9P3QIBNgcXeyeFmoRVBWw
O1hMFuKxN+eLJiOmjn7yXOb9fThzzH38Bt5VhtAcANdxJUCh9DlOcGetM7gFkqb5YahJwkArhhxQ
HMdlGdP+Z3z7F6rgiTbu8QkFUvR44aKgDWD9pHIqGxIcx8tyAkqNQStRogITXA5qkzbFcwfybJu1
Mfkgti+3x2NnrBbh7WOmyLsYzZ11mDH3AzSLOEzLuf7x+7DflSe8EBfmh4sMJIjc06JcTejcBU6P
AlFROHiQtMVrZdfsqZERqYnnh0OyndNSRlstFd01MyOKWRS1b5Qg0U54CFKZ8jyw6mAzW1Se+Hww
YMnn3r1wLCaSJTDxy8xr5bZDkxSxk//H3pktt22l0fpVzgsghWFjugXAWaRIytbgG5Qs25jHjfnp
z4fEXZ12zkmq77uqu1NdjiyJBIH9r/9ba/WhSU0Od2VjYnDdCLsIn2AwxTsOLdgGl//ZUTRh34ji
4gEczlP+rCYJ1WbrU7Gky8wh9ITKuX94LbT/9Df88V5B8UM6QU275q9QYtSPYcrTK9t3qzJtKuws
uimN/NEQr01iK3uFYyOxUSSzma1r+lHb/YPF6y9ztmtAR8N+rmYcLtNfLs9utkaM+Vqyd5m3d6YS
scYV4z/dBv6iWPBdECpWxHV1K/76nhNRMRBQWiV7S3B4tqhF9ksKLfxGJ1qIrq4K3yzNK5eYhMbX
v7/e9L++xhxR8COvCLhGKvYv4zC9x2Jo8zHeCxqHw30u2Eoo4eoA6zkak1Bizo+uwm6iFPNzRofH
D4UStE03D2bkQ8TTps79FmcejcpsICLSxLZCQGFw/nYf0qpke0qCW3dQQsng+vtP/z+9+h/0amjV
9U75N2W0wB5cMPLPUvXPL/opVTv2b6tpmtAcgjxsLnL+vp9StashVcPkrDn0NEBwafzblKCvKja3
aXoZVlZ4dTH8lKoN/A3cs1ZlhaQGl5v6fyNVk63w66MRb4PhQohiyUdMd9dH1Z/Ep8RKsGlpMj5O
jca5aqwrk6je2TrVjU3J5zxpIhCMH0911jTrsGlSTaQOjjkFkaQ6cN9iguWMW+XWcVlsEW5y5mIO
cqo63XpDFGIHGzErN/aj7UtT0qXmDzVBrqT25iCMgy4HOtIYN7w8NHtgo0Jd6LmveosCcOZRT47t
cli0pRNeyZp5Q4+c0W7Im5pinxzo8Cix4A+ecJTmq5vO9geNTFi7HTfaRIvKTjleA6M4cBEnE2gR
2VQPLgETgSSK4DzCz3rF0N9lzgxsY94H+8sHlVxLDFdPnKTm2xSr3aWNdCydjJjlxp4qsqZSpCnT
K02oNerf6ntu1gxg0YihfKnmfTRa7lGv2+Skxc5uSvRW8eIqqbZmicKjyzjjxeRspQWTGTZb0dn6
S+7STp/A+zxp+mQRXyS+RMNcP8JmukG5GMa119P2MFSzCGJNh69YJNsry94oc4KPhDCTq2Er+cUo
x7upkkBm5nnLaRGo/8PC1bQTpB74rV1mJ60o8gBRpbkPLXU+gDlJdJa9FBcSuNhS45joH9Rx0+hV
dQnrtviRDpa7HTIxb6WZODwFbDxflvthhiFaHjcf31IoycaXRuOwuby4QlkX70Xp17l5HEYYUjtx
y6e0lcbdmNzpZNT2eCUnuLnVWfw11QkVMitrDKgLOlFuMQdmzwLO0kPhtVat3HCcFU95mxV+meXy
ohsQoB2viB+62a0lk+eiTGwnEj6xnzOy0D0hOa3O+OaCejL1jUaAQIBIEAXqEEafSHRG3cudhlV3
WlZMGWWagibXtXYycMQeZ7XHsT+Nj1Ev8htd5ZBC8xS6dzsx6xvnOmCYFhnRq6NluQiFMtu0pkso
U6dqtyh9eVd1rmjb6rsHHbR/1bW8ujXEltI2ea4mY3mjAdZMNgrq2lGksYZkk+UNNY+DCKgjH3dU
tkVbpelPLGfkUY2tMylwjU2Pe8nOvXJSogQnGrdK0hk9yTXINDoX8EFrFuTSPSt0AWEAvDvJrG5D
+yRA6inYK19n4rKvsdE+Kl3+rKGLBm4u7rRO5ZvSqT9kbduHIq2eZwNQm3T+L4WN7W3N2UEbS/ST
STCzX67v1PxNicLaq7SOma9XX5hjGJFnN9zX46CcRxZvm7CvoyBVxRs3Q/mo18W0VehDBt6KzMPc
SPEsLGX0p9SWRBO3KnZSnY+VcrQp64IZ199AJJtNbxftDpZPP6TyuHTJQ1d0LIE7qLAyuZQhTndK
XTylFUVAi2+xGQE3ttmYTr6gBOvuhEZ+qx0zOgwpLzM4DHKya003En6XXdllOqNI3e7we1pn0Q5H
dM3x0M4izMBh5HgbRffc05awVwhbvlBXHJd8wCopRvWJwmqRu0Gj0Yh4ncPRKB7GyrxAB3wF7DXR
ZBf3U2rMPLn1EqXTScLrTNv8oxnL91LU9HQSQOktifZu1YMJ7dGq3RfJoLtTi7gO2jrXT1FeUr6o
m1zSapT7QyFyiKA4v87cdr144n6Xk85c4d2evyw9UPEQcn8eeq7BZJ7mL+QtJpFXJGrz1LQIWaqF
8uCUxSO4ssD+7eZ9fY3MEJ9tPcZyV8PF116ODcmTS1od6gwcGINIlwdVXbr3LrV/1ET4+lAC2naM
nRyF0dFQzhSLQr3aKvEt+yIpeqwcVW9S81wnlrLVKJrZOthN0OmbiY94SZHt1D9DGUtNEGtbdghr
KoMikkTzkSkpOcIx0Z0qcYCjTjNc6yBHpCQgMzlSffkwwQLdJh7YT0Yb8hHJRi69Q9sN5qvUkvYY
L8UMargY5teOqz/xtb6JaOBVQlt4HEDte5MrDvVwZH0eK/Ltj80cKtsORSLah013mBMjemR1kj85
CiETXjso9i7OELZ8lgDxW+0IuRl0UeyZ/ON3IEfkisJp0xTSoxMPkdFq9IqKmiLUZcQxPNQOnw9j
GAh6mBblVnNr/8HgxKLYEPp47gYpMV3rjRpgrKU2cSHxIkIY6Y3JE9PSv6ih0bw3rZq88UyOcFQU
/VkaS/EYDqb7QyU4cQniPDTu5OwML3TsLJcCeoTDMQXlhWF9M8mcTrwkNpoeznfIN5FLxR2xvoeC
uy1yhKbPAcrtWiwf8iqSjhQ7z/0wmw+UkubflJQGk2PRA0d7nOHHW9gI65nniLupabzewo3SXlfZ
6HHIvBoO9DaZpo8ML73gZgQc7WblcJ1s6u68Yo6Va5Ja5L7oxF69pXOYXQjbINh9CDth+7qLVEMG
VfZNdE12r8fyKYcSZyBbyvBAVXkRMKTxYWXn0TwujdGEvhylM3u6pEqaFEhXPdekAr6Z4zx+D524
+eIQorRFEqHaUIncyPWmZlaOrZYO19LkfoPI2iofQp3R2YhjQ3RVHAnRNgPG2cpYf3GjqXRA68L+
UGudMQZpkjaUZtpF+kIthRAw9kZ3R3Ul3FeZjOZikSB34DOXUK7I5mCGjZmQjLPY3RBTrr6FLvDQ
pkzUbAo0dMAdVrzkHrq1umtoKPBLyqpTr3FESuJQTNWvuQpFRqYTITF2zVGLOyuwUP9RyHoZEMFn
Yb2uFwowWrEBP298K9W7jRmXrvA0WeP4k10gTRM+Uxn6wrNDeLDJTuuDtAV5UQVxF2+o8Z3tJVEv
NZ+83+o1m/WaXZhgXvHqtFm+WxygzkRRE0uiW1+RedzPdlwW71Ukq60Rk0wQcIsPiTQdskrxRzfj
jmgSWn1IsNaf3UXYXwazzfd1XJMTChy0oAYas/EVy3986kLNeHY7gv48pzAmKlHbQXolAvA+ogtA
etnSZw6VG/F8pwmgGfxJj7X3wR10vy7N+gtjfXcz3Y4S9HTS1beeXPNwE6ljz7WkSliq0ta+uQ1x
jRts9pFydKo0fE2o0vg8L50laZ2Jp1Mv+xnuk6SsADAbjdI2sgO+l6u69MlrU9oX+mEC2N/BHxxl
Mzpk0+Bvcm+ic9VLb4soiFxaugLTrfVHK+ds6NA0tWssDhYkgwziq2svuuWJqo7WkdCmkJ0WAcXT
FEObfU0m6g5renSRnb5sRn0JD3qaD7tFmF2w1Ea+7bEZPpAOtLH6tvgep3rf+mQ02t+JC8H6M8gy
XjPN28+RaYdfLVGFhFGpBsYOQbOuX7eiP8f6lB0ijlkSZMykzDNp2eQQACLSb7XqUrTNeqj0arhw
bi3GeIZwjl/ykLT8xFRjHC6mwnwQ9g8tbd7olZnlnBBuXT9SOSMSpnt0lkKR27JtemgZ/EMe6bLZ
K1sUjaqJcCR9Ik7MjjiDWrc2Tbgsp0zR6uNoCe2B3zB/0EWSfIQLBXVkqXT7om4IAnaN8tDkhNOT
DvsCJzr2Pixr+x4ZjX01moZadDVp/9C8/jcl/8OUTHWbiuD6/5+Sz4mU63/qOvnzoPzz6/41KDu/
aerqsUclWckp5to/Dcp/OPN1VLyfMNcq6P1rIlZ/Y7K2Nbadgng5XLX/1UTs/KqVAhzgnUdiI0CO
/KVf/cCJTX8XnoRsPf0uZzvKlq2iS2YEsvlYKHaxuu8akzUp0ZCrCN/MmcAAopcPlajmzzwGWP9x
w9OhFzOL06GrzVXrZ6sNBrdRFjANQ7bWWbtghE+TnvKDBJpyU8pa3xhY084UK6j7dfEdYngWU3YZ
KHj4bqf4s/0mSeAqY6YBLxWGdW8UHghtGk47Z4S5xye0bGtugDt7EOGxMicW2BY5Pg/8mCZri7Gs
3w235OyluhmbRbh+zB2pRhybUKBqwMujvn2CgO65+3HU0vCJqY79bYiMyNqOrq3oz+v8lGyKPpoY
0HAmm2+x6rJxWsNRMCJW5B8jYY7s0Mdro9s9/SqRM0YXWi9iamKzWYvuY6RaWxqRi0bwTCnYECAF
dGpAD7BhHjSx/psRNUf269RmdbmzGpVedEz9NOvOcZthwJM2fikibg2Hs4WlRQkNjRagK1VYZfS1
WObocbDnalOpeHA9YNmm9rSocV6XfuoUClrGaTOWjb3rrSXo+H+UKgzth5k2w4U2dVX6mRoZ+9wy
NNabcCxjyHK/zW8oOvmuaAv1jFEvB6LY1u3ALDbkVnNqi3HbiKa+NjHzhNnVhN10PSS+wkx0GzjI
fc5qM3tV4znjsVwiY5h9Rc94Zn5Xyim9A/ACfrhTQx2x4m7jUksO6BnGW2qyQaG2Gi3dbssD03R3
FCEiu6bld8w52W2YOvJ3aDfhkDA2O0UbraOsysPkzp/sEg+Bp9D29NWstPBeZLEdgLQnhyyyIGXG
rjjZai43shaFHy9J/rkarJINuBbv8IO4H1aUoQG1YZtecQU17zjATM2f6lm9uLNDaXuHVftYxhZf
NaulitW7nneEwS/Php5/SpVaf7Pwq/BkF9lHgiZNYwAfKoHUvA3zEBY7KwaoQih3Bq/vax3U+wJb
sHEZMWZviKPunXKOTbqAaWsxpcRZPZ4GEZuPOVvSrTEsbL0sZPZ9G4nsULmaBQ9va284op2LZpcj
G/ixO0Bz5wcerK4P+S4/yb6KHo3RrPYZ8VunETvLJac8Zk+ftHljO4XTbahTHu1x+sY7mu+mqTdO
fbXkZJSX9SVbRP5Rs/MNSeeN7GPSGsu1MbvhoejYEOCv0Kgqqh37Pqc0P7BeNritQCyfHUbMm7vQ
JIUdmo99Tny04tVOkhxLKzIee6eXD2g0ycskVfqO8EdwhM2G5EwbWPOpZ2v2lCQWDtQMakKZEvet
ovWIda7Vnej7cpXN1NvpUaUNXd/iGy6upuqGB0q3x123qIghqets22Ywf5gD23nE6/llSvWMM4py
KLO6OHRmeIbdp767x+FLABxepzI66G59mk2VhgPX8GrcX9+IYtI9IyvzvRpNE+pYjTSkyWHXJqW9
xfU6BctkNV9rpL4TvqIEZJ0tqFWK8ZZWZoP2TvNh1fbGjVLK+bUHmEFg0gaG9iR8nKq6J+tx1lam
BXup7Eg5Y87fjzlH4VqkzLJFX2Wf6wTTHG87nxZlbLaundXfDObR3eIUk/SmkOL2yVoPkOTLXm2N
3kVG6dnyU50jhyNN/ceix67iqRaVN7PKAtXFFlHTr3OGKrtiUHEveqVHr7rD538xXbL3jVkZPHVO
1LOVZOrZ7TL3olSFfsNh3fOgIAPggc5ISJJ8esybvs45znGtYLdk2Yv5s/DDsZsOCQXfx7pKyyBy
LNgffDHnvukYKAxuNUARxCCY6VFvhPZkUcuk+yp4ri8biwDYdGRMHBWnJWxEpuleQsp8zZAIJzXN
jjxL0GKaSv+S0q5xyKWZ7xpOUJ80CmPukd3ZF/QdFsO0J2DWm7PmsySO/zKZ9nIeQEDe66pXeaJp
4z3HKhNxQpX2QzmO87dZqSi7yKIGwKY0x6MSFcMulNpwgYAxjnqul1snaZrnEXDkOplzSGvTsOyM
ZIpvPNnqN8vtq68OSVE/5iTrcg9rHB4hN/o2ZlNKfuXieiEYDXnRPYGclH3Dhne+UvFz+q4ilYND
0zm98TIf3mtoBOQRnaRcdDBqBvJYNM8hPvkNqWLVwTELhGzTSrMfpdCarXSH5oUJ2rI2ooqKr0YU
ObsSYeLca6FzGhwCyvJpaQ+x67CmysAiZp3nG67dLr90QoU3cwp5zrS52/Q0Hh6xnAFldBgHU5Gh
FeX24ClD2b8QkwumWLuD9KVQ8GFLY+xvVJU4DwsNLd9Vo0dDAUXicQ3MGJ3ysVM+xbFpvbE45NaT
KRURbhI32HrTrhETljDckCpcPdpZaVwSleDVvgRtzJx81rw0pDzZ7jADck2MCdCCqzC0aHHlg0A4
7xnVz1s1Md5ZkldnJSrNJyeKpKepk/Ewdq7gNjjr17lZVD8KS9yppjw2dK7vlg4nNtJbgEtRP0O/
pMwL7NHauKyuFaPDZ9vphs2EKL1t0MB2ipWWlMbj5MOBqAd4N2WgVEZ9wGYob7YZiY8upnjDQ0xc
AkLG3CfNTOttid9/q8at9gluMxa0gtbiyoRH17SO6/CWR6W9A/Cp/FE1Hqh5RJykvEY9E9h6pgtj
OrrkD2y0RGm+wwjpHXzE6O5Jy7UZ4lO6wnI500E3y2u95PU1o5Npz8ZT30+GWZJcDqU2jou77EKt
tV84C+ifJoN1A6KJYf9wCqV/KyrH3IZZ/Wo2OZJ86t4MjHbkZFcqyijnFAlbMSK+pV0KUkIvF5Fx
6BI+mDNVXrbSLB8JSjsoehKOR72fAhNX1IlikIhLU8htkWbmNeRsutUSHtY9lR5EFTqtnQZGs3D+
IECmvxhR3wTwf8+l2haPwzgIAswXVex43pXbga038KIyb5VEs/d6lTuPtmZPPBXs5I0DmiV9heWG
h/i17+s09CMWoqjYWqtlB1q76B4DGr4SsExkbysmIndx93F8HeS8yZRsvFstE+ZI7cjBUufyscua
kc+JYbVcHK79jYNvvGF5qSOUc1shDpLD9MRJFZeiro5Pg5pHn9Wsyj8LnTOgiOQifJYkzWOdde5p
ySxOKyiUB3IXkCoIXjBUL6t4gsHehAfWvO0STJGRHik6chsvGbSETM7IrfZFo0fyuwExK13ot24m
wcEzGozxg5kFU+e0R5xxDVFA0jgL0c4Xt2m1AAMVW9iomY5xOS6biIP/K6Fxp1RYnyILVqjXUZ8T
U+O3FMcis7UvCTtorwVk8pvQcjmSFdartgz6YVbsNSAxNoI1D2xD4dJ7G89f2bPfnFqQlkFaQkD4
TYxKn6h+1ZXjTjVI+M3AwSZGhFOSa/hX0+gzbwv+WUgS35VuHxg5hxslTx4HwqbO0hRvmhTY6Yau
X0M78yDLnNavi5wXphhdLy+AtKiZR7q3oa6juMEF1ztb0iPmo5MMj2R+6s+khZN2SrlJQcZw2W41
W6dnj843CI2eFP9qJp9WFDvbgdJYktR4mxV92mHXpLsX5tSlYe9xsuLMRwrOziWX37si7Q0VKuGn
AvPzvoYWPZq6VM/EQybBwIrOX5yWxxx5cLgdbWc7y27xaxz5KGX96KHuRRcaBXiyY5l8NFV+udTJ
N8nSFcwJdcvuo7blP4ASv/IDeBx0oo7xVdDYTT/hLzv8OBRznvROckgLYgNQ8uzw2C4Od2mzz6wn
oZbNR81ZquSRrWb/YLf4FVhZvzlBizq5UaaBneSXb74kZWvNS50ctKlqPxbCtx/I/Y2BA93s/qfp
/P/hKvqVxuBbEYjFf9fp969NAEmDAjuRCXDQar0pN3xGyNUt56j6/vff5y9Y1vqNhC0Is0RM16xf
y0uyasa+m9nRoSfebAuvu0ZrTPomL5Pu2rQZEUoDKU5ro1zxTjQFE/W4RPGjEsbrcB3iId38/Y/0
17fYJqAYhJyuG2baX/t0erVz4o4p49BM5XKmLWzeGenIBM1iB6JZjeL2A3CW91lrwz8gmP/pR/+g
HwFMOH+rHx3Kb4Bv73/Wjn5+zb+0I4Id4ZYMe2Vs+HDy2fnJWDjOb4B2bPAMw/4dluCP/mUH1H6D
T4MJXFPMxR9uqX8pSvZvUGHq+mU/0Yz/RlESK63xn/ihxueJv22lD8GcfsWberb9yRJPBBwZy8ST
OoedTsOQWCwsB0Qd8FiAR5fz4ksq2EbO0Lr2YNFydF4I8Zp8DafxJlST4ZsNu/q4hFP5xSVuiCAh
yCWEDVwqwVSFaKDlUn4pTEwyQG/6Y5uMVueBvxvnRcudxc9SAoA20qWoMrGcJ7vN8nvLBf2oDu9F
1aK5AiY8d4PavuFaGBR/GfJy4TldT+8y70BGgcrnhe0sRXvB5JbsoQy67rNNbTXZ1xgVGD9/W6CL
zXpLpyitW4dsapi5QrpDzmQUhTyyVMLcA7PVHbHJKzybfstRinOqkxq7hvCA2JviMH4wCNbCJjzb
ie0pJSqMz/Gi+qhlXb9VnboAos6q3wP1nsDExw+nGMo3cGYelCzDKJMds+Y212n0rnOSw9GsV17R
9FsWHLVvsXnxp8QZKfSdqqtJh67rjc7UtB6FvTbe9SS7OAZNvAK6dVvPXTDL6mDbYx95DZgBR/nW
swT6hp7YV62RHJJSo/iYCLRgnVc4V8vU6gNtdt0TQ7uEf5QU+Y2zsacMTeOWqmTl0ewiGxZ+6U88
P5PwsEitOQ40MtM2E5kkgiVmQ+SUWug8VpQ5f6YJtH/qQb9IQ9DGxSNXRntN7Cx87ZR6OtSj2WxK
dKOHcdFTjxYei9a1WfgjIUYPS6T1L9R8141vurgRR6qETrHjDD9I1qdHljWlgoM7FzGHiDLf1I1L
JW45ug2Vkpo9nMEhWo3zOw/xZk7ZFsqpMXdRgnvC09NRfklTqEl/5LRGPFljRNfSwVmyx3WX3OM6
M170qEjQO0y+G/5PhMZapxqricVJ0ynK9OK+iiEOO+aPuaoDHXpyPxJ5co84HXCmT6c3pYzao6EW
7vexHe12a6kFmdaaMTrJBrHJvQMOLTQ+dFGlvKaRYV1jQfyCNziUYnou1cgfglo/F+gFuDlSlyJw
zY5zbaGVn3gfs8/s+uOrPaXyLLU5PtqtvuYMVmPzEIelCBRrjgpOHGn1yTEa9REismKOafhzraI1
peGQXVHdXdSXtLTBUZBC+ZS/TqWWCvwBkesKXp5Jp03j6A6Jyj8qwuBoJpncYU6tu6T+Ws0fCIuc
aMLVJb2p+2Lk6BMOOJbupKIZ8zHGiLRvRuuqOdDftbAXHzUPgIm+x6cp59OzkVOfv8EZzp6W008a
2L1wUTVrvVpT2Mynno4IoqgSrfM7eur8mKXjRYBnPHSmFe9Ew+leVhIjQjZH2PaGbMOozqXI5+Ue
SpwPHK+H/PP0O+5g9Z2aXm0KweAgRA0M8iQWORaclmyrNC+61ij7sW+fBSvYm5I5KNDTSlgYoBYE
01jnaqUvipXDyFcig/P9fINy0amNhtdgwIoOzizzGw6O9p7/5DqSbWi4+caueSPxd3vFyoFoTXxZ
44L6lRBRQUWG9FhTLXTAHNRQ+QpN4oKVWCtfAhZ/TFMgKLqIPdoYJX/NSqM0cCkxJV+HcGVVtJVa
IShHPiaALO5KtDDkuBvq5ZRzumgheC936xkEplxZmHClYrL5WyuHU7fwGoadeqKvDYCGzhF1q8r4
8/Q7XQNm49gzvA3gjck7toEXu6srkxMC54ANPFpjml47sB0REr5PcSahMuq2UKunIUHxLCZMceMK
/qhjNgT67zRQP9UO+Rda5s8rLATkvHJDEERNoslja8hTt8JFGMOGHXUCItAkgo8HOwtu4GbxESFT
JPx69fIWT1Ke3WkUW4uFAIq+OFm82w9q1Oqe+jvqNDXVTjFLLBNsSv1urpYLDdXQUZgFmMxWZKqZ
Z/duLG1G3zw59bdshasst/1mV7F6ZMjSTguB3RusNA5GJnMi+o+UHCgth8vvE0VyUcDuCDfDinMt
K9gVWdF8QZhhUzJo9D1neAsVU0CHucnNbNE5jBUTa6GmIHFAx9oiL56GPAwJ64U6EStiZiIuBwZv
E77UMchWEC2fwvdYgqbh1xqv+oqrJSu4Zq0IGwWsRNgYSOsr3kaJC3d+RX0xV/QNxwW7zXQKfdfi
J9Uz+2NkNX13FNf22TvMW2Ne3G0/2vkPS4blZRk3coXtxo6YMqxxIHjcY5SHtEvg8pq4aO7MpHlA
KG52IpXcYBYG5aPJMv4Qv/N9biUlNXD9nYswv1CLnV9TM2RNsqKByQoJ0rV1tYUUwYrLHYoVJcwd
g0bufsULR+0Lyi/7VU3JnsjpI31kxRG7SqCL/c4ocjtceUWiaX1N2OV2/p1nZFDZaSviqIAGHk05
zvuShJ2D1fGInLLFOii5Zml/TEL/Oyf/wzkZMP7vaeSX77L7P8/s4JMy+Y/T8s+v/Hlatjnd6vj2
yQjQzPW8/G8k2dF/s0zdpTvrj6TyPy1chfobeQx4OogxoC3NWkejfx+XNZcAWPZqriro23L/m+Oy
9XuWxH+47nHba4igDGEa2US/cvrRDFlYplF8kIXdnyqnJAis1Gt5MmbqqNFbiY1DetDuUlM4q9FW
oiZTEuSqNu6zuFVAN8Le3rad2z6RxEnPvZETuuZ0+Q5Jn/Np0rsYfCaz2fYWzxpUs9g8EEbOUQLH
f7j4pCyOluc6Zm56aLdWMLhzFpjc/4mOIxbTyfoBcSfCFlk40WetlC4ZgDS68JlPX91xfKa/NATf
CCUL4W4g6HikL4IDtRp0IGy3aKy0I1g/Ls+plHD+Ie3aqCohn/W5AWscFg3gT7WHXV0ptySsUxnE
UzruW6OpzstIgcwkDfVladvhhP41fwrr2djOLecW3ZXsQdxl/c3zMpMbssiTICG7dMv2HGAjHufi
KYpNc6sbU+2nkj+21UY7ke70ucogwCNU27MD6usMOQp7g1s/Gir6PWQiuqesTu1rWGksaYgmYWlq
kSC5rWZ8cILu2SVw+xCfHgvojV4PbJYpwA34mTPusZ3w8T5wWFRs2wsn46XPSBUh1JcszVnf0XD5
GDkLDdX6rArOK9Rr+sJk0Ye7bBEPnUImmCdpTfcc8FaPptW9SxPoZ4H5LoUsXLSNMujYMdPV/9bK
0uT9MPuHxcGwm6pvDAFm0PO7bLB9PoeUix/dsf08ZxyRXXaWX+gQmwGoarDw2YkDM5tXvc8MENyi
uxSlUQaED+dnJy2aC8tb5Fo3L2Lbq4vKghSW1jUzlJA1tj28hW3I+qep0g3t9tMDAs73TjeiGTll
sVjEJCQOkTdwnEhlalMGHIwEE2BdRhqoZoVBXyrhTTO6V/ip0ueunB1itOLoNHZqPtwmAv+a9xat
/os6Nv2PJB2IMS9q85RGjfGUWQL12Sz7B1OyHfK7oeAlG+uiPTP8fCGrqr+wklU2+qh+p6njiz2O
FQUZZtnAx4reyxNDfZyx9AHltrPz5uDb+wTYXPkp5v+N1YT5ikX0fbFXBWjnNrSqMqcaaRy/xNFS
qYE2E2y4kQqmR9KKGR0W3uWNaXfFhvDGQYXpXjhcqrH6wKzBJDhpMzvyWr+Opva2SPdNbSmnIaN5
09oqSRyulZB1Kuy4aXcIzvpOjXTrxQydT5y2vsNbh6BSsG6bFl8FeWwEn4BsctouXSfx6c3R9+BB
2p2/IfJsQ8YXZNYTbovxMGkcibmYRUxkVMSD7yyZFaKdE05t5Pdt/VZQ7NTf226G/VTlNlX68DrQ
Ceu1TVaf58EYAjlYEwOuu5uFER+ybBk4Qiy6U+z7UIN8cmAtTpnBMg5TMpZJb1IrE7HWCDe2UcUH
8iK1TVN3o2fZ9KloteW8UDw2m4Crp1LFjRV1Mt6x2CHF18KzYIaEw7nqPG5LgXU8mvLslebIOSjS
Zjw5ib0VZYclFkc+eJsUyN5tat4YTtahPWPbPsa4LgH76fIqmmOaGVSo9n29GygO8wetiM7jYI68
AumykB2umgcTofw8sXV8hqWP+/yE3hkFRS5ZaSZRRcwcbUDEBJxgHV71cLKCivi5A6e0ZWPyb51y
U63OWm40hLWzAmsh2RudYOl1mXLAne9wp2qbG95a45NjOrFP+R2eb7qPRn+ul3kXKmz1fTfPsreF
4DBgWHsESaf+jBvElzxz8O0NfTx51Aa0W7Jw8asuwyVfovkHGaQDf2rb25h9E6NJUve7KZQfIrSa
wLJpg/diq9QCGOD+EBZzTgBs2FKz03/hwQIDQ8XSvlwa5PY8rBQ6kOtxtMj+Tf4ve+ey5DZ2bulX
6eg5KrABbGygI86EJHhnMpmZklKaIFIpCff7HU/fHyiXrapz2nb12BN5YKdoMcmN/f9rrW+170bO
08ZTlmrOVuYTmAjEc8A6eW9qmX6KkCzWde7EmNi51YYzmNkSVqHgAUsbfMFkAAp5b9S5ftAnJZZk
Q3iwB2v0lvqEk90OOn7H2tk2pW6cO1xRpzFXEZjb9Mm3Z5oSG3yEoO4ah17C6EcHubUAZO1YK4Bo
bAEEQyAVexWwVJFBVMTRsUHme6wF/pRiNKa15Ct6CUuCcJE+OuskJfiPUd7dSCMSxwlSxXboqtOY
ZZWnz2PzTRb1uA6ycgCunZZnSJ/w7TorPNSz+9Vx24zSqfob3N4OdsrwlcBl5+nwZr2u43Ej6vDg
kGLbd0Nq4v13Hnq8KW2Djmmy9IBu18sbNIZsW2sNvsr4qdMb7TaEMaZh2zn6jAJ8G9OHQGXzdrQT
xBYc7pKCqb6xt3Ju6o1FXp0tfd+1i2A1fbASaLZDx/v6VHVRQHIpbqfuMjV6UHgGT856ZUQjwkir
m1RNrqyhmHTPhhKueyE23PkZ/7yrvQ7kSya8OOCjN5GEVwFJMlczd1+RppanWiGmfSmjZ6nqpfSz
n7nKNElqAQMXNR8rKUzWJnBqV7rApjkVYpQrvZurKwIj7tISWssns+zGT1mhj0eFv+bUVXmzw6I8
QHXJwNSsxQQ2VLeTgaOfbd0Wnnu7n4hReYR8YIMlmv02sayAzNfFx153O4hJhsqeHNyqx0zPGHdN
6SnAltvJcIJvFZnuXdMO8rGZnAqBsRJbs24J5mcopMtahzcomSgGCfUg+GhNfrlRcdZC4EkIfrsZ
tdhRPVv9Rp9ltxoKFlUrnm7EwgqrNE81Y33otUZdioZZtnMddnO9vpXNooM6U4iS2ShIDnMCppI4
QB5QmNr03QHLVHdiN6YdtKqyufj5CzOGKhP3KiT+DuSyuSLwIeE1F44LrD80O3uDKUH/3MglXzPi
V785YV09gV4eGlZZ+E8K4codoiv8RzpK9ohvGG3oBGEdxRSuGpCeU0s8y2Ugb1xxzpD6JaGYcXqd
zYiZuJE7s8X4t0KB6mCq5wPsfMi366Yw+30QaQPaf9QEnjlq2YNFZx/2QU1V6TqzDfjwkaV/8v2Q
nECp++E66EwHtuRk5T0fF/gjEZiAVw7v2TN5k07Ymr5aKoGoBOqOmZ/7FvG5RMe54TJce0PboUzX
HdaQFrROubbsMLuioTtibSdh57UyvJAvLbfukLXnoVPyYIcORnS6a+StSeGleA1k552V27XHsso8
YkOq+g3IuenbiG/+i8ud+4Mx2erkW2FO8cHUq3OjczXb+IEI3EumS5wGk3ptM7P5hJOfjG0grW2q
zfi/RqkfagoI6jUuFfuzWVosvhsHT30EVoFnieFe0niavhsajIqWlcUb52l0jAZNAOC07Ne+T5Ds
sRMrn4BUFDobVsLGKmizejvlrfnUicL0pE0fWzGpxANN7zI1Z50nx76HSNoPDxP0mqdGLcvUfBjX
sWT2LZIyfJuqYaxWZN/IakUFJU0lgy5huB5OSzFCaME54GkgZLZGT/+bkRvjmUKf+cGp5vK5HGAQ
rjnP4x9FK5oXN9fT10Cga28kyO8jQA3/GEFdOtKmS0sQn1fcUIF9M+d2YI+DP8WYdV6AxvQVEIHS
ox1ScPfXbU9KvyNPgfmLoznLt4Ndyh2YBTx+LAtXpZsOL0WdmjD2a68tq/gaBcjxcZz1DzGK14lD
ot/wBeTLonqDCwsnn5nU0TrUqtJLstgGVyWyYp302PoLtE5uDFZ8KiPuKGmmV1yg2vQ9TGw57xWL
PC+qOvtH3xbDNzsbQzjlgKsuvWGM5naorWJ71+j+M///q/nfJNb1i5z53+iZL9+pG6Q6+PuvSpn5
86d+V8oEAz5z9V3D/odM5uq/UZWFqk03mgJI8UsUmbwxvWU6zScG9mygCQjPv8/91m9Qwe+EN+5g
SGXWX5n7LWX+WSYz0MgW0VmYVDGBjvhjFJlGZhgcA+AfskqN4P6p/CDuPeJVmApbDMJiRVzaGM6t
MZFBbKqJjeVo7mhYUPsqA4VCkUoDrV0qwa0eb8YINsWjYRInXcAZvWZr7GUMYq/ZOFbVZsKK/sbN
QByMUk/XnSuHdRUGPLh9hZWxbA+92QQ7SSndxgZ2tRY+q8SZI3439TqgZ6TkAvTL2GwlfB3mHoct
Gbrcq1VWzlteN9mhG4MZb5UN51ypjc4Kbd3HUXBFP3b2+RSlL0Zo9qT0GqtlNWHYxWtILm1n9Np8
bHraWTcMOPZX31Ely4KsZA2eMfFdCh5JH5K4dc6UAuhP3VAbcP/Vre+Ee8ESQ/1LFgRfUhQ9FiBJ
v59V12+SCNAY1UX1roZctB8ifCW1Od2KslCHOseiB7t04vrWi2uu3GOQs/eg6PFRQzshFWTQ9DEN
jpcykCI9VfKZ2SxHdbH0Nblti8z22By6ZtYga87iaGEOP6ZNzsFiVPDTtXjeLOTtS2WHKvQqR9MW
32v3IqKSbYGQ6hyADtzR+JVtwWpI/tZmvgERbC4q0nwWP8aLPWbj+5R0tkcFOp3nKmlucwJ4aZhs
dhxdMW6QwqYnK4rV184fyf5MX/QsathWmvG+6wNjR7mA/7F3CGTHsW9/cyI7mS7dZMSXQGYJqWBo
YeuRVifPWc5LHi8ODKa63la2EW0mQBaeI7l5silhdGdV/xXHyvAjAPSznXWIgfh+MmBajmndLNS/
9DzFJZXcIv6Al2Z60+BxsNaapX7RiqQHlgf0uQDhSnmKG5ZeGSwN6YbP1DMn3HLx3lxN0ReXdBAf
0JJLHGymVe0d7K63kVaLo5Ob/dXIavdkVQS76SiwiEZHQsvUvtMYBLZ1wziKsdBKkmUTPRxtogRx
jra1mpFhtqFV0oIhCEUyjxnZfiJWuc5nV3JZsTo9X4PZQ2EZ0Ks39GmqTSMyuBRAc6gYkXtXVgxO
lJFcatt4K9JK+WfaFcbwhNr5yY5qRSeyZHRjJ3doos7yjV3amnGiVj07HPedwaOKvAD+zXXux+ax
6Zib3xGZUS6tnB4Ap+0+yHKZVkhU1Z2XJuqFHVvswWASHtFY9wg10liiig2ItJKOpKeSG1c8LNeT
YI9EltQfjJS2gHGDa4jSpA078kId80Y6jbbJJHzPKwcl73vWlzMLjXi5AQHK0j/PYcWdWy+14KGa
qLD9hHvGqGouSpO45SOXsG+xXxG6X4yqnHCrUFia5eld8cwnVyYrWIsoeEvdCjvHPgUKoxMu/arw
P2l7J+8B0ssiBZeDwRWTXt/V3Jn8MVwKQYLM/YhfS74ldBDySdGJUBzI+en9Kueu8pi3yvrGzqFN
dgzctL4SdlCsqrSIabYVSIBeLpeirTkNahvBiGoEkxVNtsY3j1x/J9xz9vGKbQJae8UWkZpB+Ecx
rDRED7ylzmQUNvpWFZrtKQHvp2+KotdWgRpV4FGqYl/HZf0hLYqWdBZU0LMl7zElPP70kg6Ocapx
1nGfwKynszhyh92SYbmQQqwO1HjwvYeGwM6NJe/a6EyCGTQU73JsALuCyMdjbqRo2JA26CuWxXlE
AT35Zam2BeoJGEggvHypqM2pWJ11gjyCbRwdVcOUITDJdzXm/MKx59UBzUlbHI/6M8ui2LONZhbg
JLhv2VqePyhk6CenV/ZDa1f9Z+waBhlS0z0R2DZpOcYUmIxWsIPfNTf4b7tUX9HOO71XU/WVZ1T9
gPWJTYGiGSBC4HVWhl7pz8BK/S1ObOeDxNZ4swAl8nCAup8GqrkWraNxPWYl2ee6/04AUJIjF5tG
2cGBo9PfA/DUX7EX0vuMt+5zL6oRWA9y0B6A3HhSePwvVKg7tAWMKMLDFH8JDVMcZVX0D3R6bFst
p8aKi3KMfgVhH3OIaXnkbOdH241jD6vnrknz8sOsCgLPdt/tRI0DRPaZrFaxGIb13Gj9ekiL8Iq1
S8abGhn7FJkc8dgRQXnVRNAHXv+ZQi5JSIodN2aR8JFA5wA5L0w8K3aDnc0/YIuVtccFP1ghR+Ns
vZpmhUmZ6HL51pMNvwg1i+99Z4DNILftJWAm9nZTmZ/gcJRM6kWwYYYMttQpsPEjk/6QsAj9CDSh
utBjXz9KKdwzaUIsvGEen5NwBOFnhv0DW272/EZq79O5/0KUNjpPVhh+AjyiP/g+EM6OvTg3gWwx
wjsFTszM1B8ajHHtOuKb/yipfNkRSKvfHJXTR2az3qbSjMyLHCGvZY59oKLLvSWwpk8iToqvQxOQ
kx0z3UumQj8wPH/yQeex88l0Lg8sxCnkMr3ISGqHhYCGX8DXPYv6rouMIv1kajTNL0//asOCrdxA
H8BNMIr2g2Z0dCp2lKg0KwtsrqsNgFP60XbXIOfQHV1nApoXGNCOMkrIKedIfual9J/xqamr2bkX
fiR/FiiNVoh2rsh283SrExb2OcGlUBGtj52ARx4ujiB8aeypjG7/ud/nbdRO/+J+jxK6FMv+v3OU
p7e8efsja+jnj/ztcu9av1F6jJ1Nd6RFFFK4f/fB0WPzG/B9Y7nHO2KpOf6HDw4i0O8XethCQIew
PkLhwpAJJ+8vFB5jovvjhR7yG7x45aDgSYYK+157/wtbqPJbB9VktE+ZUbJ5MJD9ho0tSN5X667h
ClNRjkJeEixkZhb+Q5FPQmIt0TWcD3OLT/M5LSpdy0D82GY9Mg+PteXvHb8TNr6vXrKZqdKZ+FVo
2Y7aUpKTWcNDqycRq9/JUDiJrYa9ULBtmzSzz71VNe9JMNxaK1IACdjBrK3QVsSQXBewTcV5YszT
s+bMszjPbRiVS+dJTlwZ7Ho870gR00WRjyKV6GY6wW1VE37dpxV4ycdY85PnuvLdz006m7gOmqoT
ayS6ZRWe19SyQ/J51QC+FbzEZM8ewo+xdP8qPV+ZU555ZhE516TKyXpgNdtobjF8iXorfpxRf7ZE
XSTLoBAQWNwbI85rM9QcqqS0cpfMWXqIuzT8wqhTvRqNid1NFJH7XrjOezpOD45OvckKPOV04A//
0ne2eY1kpO+heAuvjU1a/vBV8b8x3erWxTnrdn2aEC2HgBnFKmn2WBUdtZQpu3JWqEKyCNe4/3UA
BD5yNpJDr6dhBwlqurmNMR01kiE46iJj1AiRaxHo8Tj6xudB3uKk702P5Kx2DbMcSJK0WYcXo8CW
1uYv4awi8lodQRKwAOt+DMirgNA1eML1xietSBuLqKBhXgsr6DZumRYE8ZU6UKg7n9JWEsHnkklX
ppF3HiWExmrQWPGZgzkDYIvHAgRVNX/RpqwkmJRquyqq5oMVGvM7djt1CBlCn2d98h86rSrOhRZ0
GUhVbbqO3Wz3QrBptVqD8sPf/xPfktWHF00aZQmHSCfiD0C4d628PsYlu6b8iDeJZ+dGtX4Vu1uj
1jCGCIetfj+kDdkCPQQ/8v6fE/XfOlEtiob/2Yl6KIY/GCWwGyw/8Pt5SrD8f1qWsBGxiKbaBuoK
ToplI/K7p/jePiIchanCXSzFWOv/drbin8DWgEuZI9ghQslP/YWz1TI5y3/1FC9UTcpUbPwbrg7B
zVyWKb+crVNGcyTCj3PUq2w8aXFTbobESJ6IKyXfsryHaOsvxBSVSugpyR2kckeqxDZ0FV812iPE
CZgrYTn1j8wN/sdkxhB1qhY8S9hGcXAo7vwUP+9MbV3dYS6CMQK8g/o4yXa4IYmaVFBOWeofoZCk
3/oeLExfdc7HcCxicDV3bkx7Z8hQTLJ4pgYCdABm+gU1E9+pM/adQJMvMBqeSel3RM5DkAKqid2x
/9RGlfUEYgeOTQfx+kdrArcJtP6S0OBGyjiP4s/zAsGx/KD/NAasYYypCX9o5FoIDwaSMH49qsfS
7l1M0pPZ4I0KxgtmD0QJZrHph8o07VbkMTt6KjSCh14z/IPNYUfcnI05ULzCpJc2jJMYtvosIMQM
Xfg2l0FONNxvPNn74Wcx0eiIfp85u2Yh7SGD2OnzJMLwiseSwY6I8T6i02gXcBs7Sk6KnV6Acd/M
WWY/04QJXXrOw1StpgnyxqoQRgfRKcEXCma3cL9N5PGo6yXupa/DtAcJ5hJ0MfykOnZ+EntxI+x5
2Vnb67Qa3VM9gwRbWH45CkHpIDsULlbJXnVPvcpY404heWeqWPFt+yBG3SjjCLVmu3yuiBwehXIg
93Bw3wo3JZKnIVdfBbsxfeUEM3tluMLdGn5I/5p2pLPtzmodcHeFgtoxTyPI74AVEktrv90EGaWV
LIIoDw0XFMkYgcgxbQY1axhD9K+oaY9tnJkhIIIxeHTa8kfD39Lt9UXS2WgOpWZDwGS4YgGRDqvI
mtv3vMaoufd9JyXaOcbs6/LKm90ppsoqt0mBoqs+2kMNjAX+y9bVzFph0iboJAoXmXKMxHCdiZnG
HyudlsH+NmvshFIYfiDZdkr00dMwqfAxM8h/pN/47RrcKcKsjnhvRysPteaszzXogwfdhuj6EDSV
S9duYayE1fafBznYOFaF8SFweA2/qei5mJ+thgbzIWcpu0Yj7PO9T3/bVqM1A8ZhTAOEayikVivZ
NlmS8fU26/UCkSiDZFipHPmNVE3hNXqZrSum+20csrXTVGt4EYuIVR2YNBQk4mS0rrgUOgPzWFhP
uuXu00GX57m0/PWk17C09HzagwHkfe9GCjZXPXLeJndqPoGU6eoPQL8ne9M0HeaUGkE7iuf2yJoJ
AwewxQMgv+HcQUYHvp4lu0oCGmOPNVcn5rTuaMRd9jQJiorgtNtyxzqlfdJc9nUhX8wEgQTY/Aeh
USGQOsk3py6sTUx5xaqI4uZF64z0IR1Ahjc5bBg40uK5tmAyrJwM64TbACwjOE+h2ILFjYfAIfFr
tau+Sx5NK//o0kUBXX8R3wpzH7fBE2SC0MsKEa/9KgcCFOk93QlN6uzr2abkOrGXd7sYXnTTDDc6
FLuDKpDdGBT7nWPExpNdLkSldE5QSWp5UNLKPBus7ggzuOkulK2B+B5jzD4ZEEQztaxXxVppEya4
oMcyxE3eteqFa3x3Kgc7RbILGs4UjJ0wtiLpa++o6gWxkCSYr4xpvHN5wP0PBPH3JMDSy3XIYqPn
xudBUBmDB5/B3jdmuhZzPVsPDcjYIEoqWv3o+1B1tkB3jDedGu4V5Rj9dmSopVejar0MC07C1zAP
bwOyqufPgATXdpDybhtmzBcV26r7HtGAznvOnhqFc2xHaqW1/BzBrbtSljJ863WpeX2ezFi3Dd3T
aSQn9Kw6No5O9op/26EAOEBeDPj1v8bEZA3ZaQ8yGfOroE8WwFigv3DDTmGoW+1nJQLrWZHBulXs
40mgVfo2LSES9XPrHGLdAoORkgVhvWqkHLph1D1HllkcnbAx38yGjzSbhOE8kl+70LXQ7EdNimvT
SBZvLQmQJhum50BktrPKNBE9tL2Llxl7+5lEvL/XQwnLI26STWE5HJkp+3q3ifeU+EWPWtIpZ5X0
joLqZgYbM24Jl/htOB/1tAy3GSGbh8hI6ZjLocLhu5DNFy7AUbKatT46G6gb+8ZgUwjObfyatR3b
WLOcX8zeBFPlx4rrNQXt2JOq5kMVDMZ5BoV0BlWFAS+1dbZVsgqfpN2JZyPoje1cxOWGoQpjOdV8
4aeyKptHc7ZpYG0KYkYcTNWeJ/r4FsLveDFD3CmrzhbATwYzWeuGNdNh37VHWbc39OsmJtFgCiRn
vbIXOzB8ZpHor5PGinVfjKqOPrFl8nNs3oXd8SRKdCe+zsVyx87NLvOYzxZ5pR8zr9TH+Rt2Quxu
yURwoGYPvAqZ7XBQ1jhoAiT93aBnVCeO1S5KWB3yIfUP/CpTlnh5ejOX7I3MASUEWrmpbKTK/9yP
/637MVdUpv9/snH4nrfdezL9KiiyFlh+6B+CIkB5Abp7udIu+uTvyTv3N2S2ZQ0Bm8nBlP+PW7Lp
/iawCQtd1+kPM2jI+/stGbWRKzh7AyJ5wr6rjX/hliz+nGR1DJ1ruiO5LKMsEp794yXZtM2wdmY/
OGIpYg1tmkLdBoEgZ2IZ3UUVt5OeXiZtIDdVWbQRxJhGnjCHtnvAtf3OrES1Izui6z8/ce/j/wm+
M4+mhGHz/5V32WMBCLP5r/8tjT/d3y0HLctmU6MbtoGu+udMIPSKCbMBO0LVA0m5ujw2rs5sswth
iYBWIBbV4K4fRHhi2oC0klZCjMjuOoNDp++tEdJBfijvWsS8yBLTXaGwGFw/Z2HYIlyki4jBo0Oj
6fqubRD6WYQOy241Zz8k/ryxfuog4qcqUtwlknBRS4qfyolLqS3g1EVQ4dzAVEtszT06i+JCvC/2
xtp9Yfux6DHu4JiPYPy7D26BFXCoK2g+bDjwKnZDXH3NcCU9UT5TxFwz6jJeRyFCBuEOkh7b3jfC
9NiaRZrglCY5T8AN8QzXyoZDAXtj7X+kGUiDJTPXR1j9Ytd1ZvMegYW4uhlAajtuTiIoYKfYDbSj
aHwU7ggIq+naE+6a/jhqvYZda2YjkZIRe6gsczrnQQgKIU544uIYedIsPKdm3Cx+naLYLBYkLIw+
fmC9kwN0DPzYUAZB3Kpwarwh6sdzoOZnnQ6ia43dFaOhmyuw1SxYt5ivrK/owPHKLUPAM1Jy1nYm
gvCT7iTlUx/l5hrTG1CeflZhzx1LJBcewo35IV58G6PQous8Vx7XMmNbLe6OScfnkYcw7sbF+5Eu
LpDybggRtU2DyOISmRe/yGj6padAOqzMxU0yLr4Sbs3DGonPvvGuVxhfk3qLX1Y/BsJ0j+CSnGN4
N6r4i2elXNwrxeJjqe6WlqTTGA4Wn4u5OF7MxfsSKFwwcBUrj2xltCIq11KD0NeecTfO8L5bW7yS
2GnojwzfksVjYxpYBtvFdzMvDhx87sMDeLf+JIcGWW9x6lhVSA+8Bv+RNhaTfxCOnnDx9nR3l0+9
GH7Su/lnuBuB5sUTJPlL1tqYsmtyXIw+7iDejCAO19ndSlQF/qUCc7txxpG67bvnqF3sR2yqcCL5
hKUORm/HNYXw5oTU30LR3bGhIkmp8FCj4lSZognIrVJGFtOdNmmALx3ota+9yLEhDmdpKXgpUpIn
t5RQf0fex0Ov5rqhmCgNzwE3uhNYNd49a8kaWP0yufXhNp0MGaNx+tY7qEfyB1E61C/zUOZnF+sZ
b99cJReJFLU1C9dfG060fLtCB35awD6u3y0lFSmJSXe4KTpt5U4lhX1I2vqDGw7zV9XPo+cPjXUg
pQDC156YiEuhFQ+chMPnPmS0XJWOPSFlBTP+1yRi879mazVM4GZq9SX3FZwJCTc4ZjwVTo9FE2zx
KLibrNBzFJSjvg2z84RByVi5U98fisAuJGjRlMk8ZlCDZk5eAEkxMK4ETTEt1j02QCZfCnamvEmv
Fl8MQrUOXUxceQqNW6SAa11yQ3+wOQ5OWeiCc+v8NPvIorB6ijqzLbwxNWCPLhlMjZKmZqOWZGa0
ZDQVK8Z0I7rI2ugF/73NZxQ/+ZLsxJFZXwYjDB8jY4AbtSRAnSULGkxI3XhauWPeo6KQ15L3OEA/
Y/JcwqSMkvZjE02p9grOnrgpjhL3ybiHUHGqE0gNytqut9aSU61nszpOmRg+B05IOnnJs4qWZCsX
/c2s2RpJkiX3qt8jsO2Shg3dPt6qoa+fpVkQlqUBLbwR6DE+FZTfPalpzMS+wTj7aFlWCUh/apN0
TaVc8wWzao4CBStY7uolpesved2wciuxkmLsLy1JacLjYpAhdNXFtJJwb7xqQPGwe/RwnsmothQx
G5P7BLIPnp2ymy906fESgasjx3M2b4lYxIc6MUavGkgdczaMh3hJIsMaFvzBh45zni95QgYPihbZ
gFU3h/QF3ePMSJbqLO4hZzUZS+C5IftMyJDbX88t/dQ6tn3/te01JzxlbNsZUuE5Gb1QHnWt7wRf
hs3gwLdJqtH8SIq1PMQs0x9dtE1eNXs3qiWW7crEvOKZOKMLcuTI9Ez/jk9Su6BMEoSMLTUczCLT
No6OrlhCEnuYZKF2Fot1fmAejWvOFx1M9BIYl0t03DA6Y5OFE6nRmj9o99W+xEvgvCZUc7JkZaXr
pgwJpEu3f++XkHpCQcimxj+4W+4lX9MlzM6nFJskhFcy7tY9705tZXhuih4QGY/T+mQ6S3xemiHp
CNHMyvK6SaMBgFituyR+tKjYjERtP9px2+ZetQTxqRMgkz9hnVjG0iWrH99z++09w++EakBrgm+3
K+8p/24J/EdL9J9FJ7+u8E2z4v6q6VbyNOn2czL6eAzv7ADTqokZ500IYeZOF1hkrauf5IRk27D4
Mi0YgnYBEpDQ5/fl3zkFmhnnX0xJB5mmgzEwFqABayHSsmrBHDhVI84NxxnfogWDENyJCNy7oCNQ
ScUIg3ExeWMd+7nRhI2Jko6V9RC75THGl6RYCTkaiyHoAuG6o7UeEF5RZU/D0txQLB0Olk2bw3gv
dlgYxdRtLX0PXQP0zB14WEtHXkJZhGAU+IqdFzSh3GDsIliJ9xxFW2YW+eelWcJfOiZIHld426uS
KQZo15Fw5bBcMKVRe3BDXWbWuaW2YOmucO41Fu7SaIGLjXILwC2dsRq1WSGAxXF/rsQsS4I5Sy1G
fa/I4HpSfzJiRXEGAj0lGh0P/RvfWjzUkPyo2XCXxo0+rnkSAHDLq31CNG3cjJQ/+zxaLe5fRWo6
z+NIg0dxL/MgE2WfnDrhoA1ds9w5hZ3GF+hDyQj6SmWE1Z3xY2241RNhevWl8gkqFDbpdmoJExjY
wl+AyKrKd1VTs84F8YaJKRQzj4wKy8QuykrxaKAMZ0enjFziUKr8gfvVitZ0quuH0olTnUZMTCMN
xmx9M/40k9g/rSX/Gev+rbEOJ+Y/Hesub1H+B5MoW9DlJ/4209nIwKYtLdskF+OY0mWs+ttUpwQ8
FX3xdUB7QOdg3vtd+qDoRoLqIh7KMGMaOoLE79KHifa8yNL08t4DouqvSB+8xK/CBw4ebJU6fw/e
U4Y6e5n5fhU+8Fya7aTNe8Ddk+vJiSTe9Zch93+azv7bSyA0SEoKkD2ZQe9j5S8v4Q9dqkEqm2ns
NkGKU9lI3NKxeUv/Pkr/f7zK8g/95VXYpY6jDHkVlX9ptC/F+L2V/2rM/Bf/kEWg/+UlVFRYfNd4
iW6+Kf02RZtq/vrP/xW4Ev8k8y9998R1OYENPhlCGH/6jTSpBmKlr+o9Jqv6nU5FamMifTA8NfDS
kiK3J0Rln+1Y5x/NRu+2RFcJNMWj2IHGHHZA7+qPRjibAo4/wLy6VTdDZr3ccCcczm5tR1sCWPrG
bMee7hTff+bRsECFsy5+AY83coyq+NTYvaItovwCRwE6h9NAlxH9vsMGyY0dcildwIRBNBVe0rJc
gixko/AlFie77mL8OKk66Qzhn7FM5oISmym86JVmn7jkT+tZB9cG6hiYQ5B1xBlHKjCYBLtzRyvB
B+jjKR2zocEqrXq3jUwd/SiDc6gRm2jUjHRskAlLjPbDmE/WbcDEsNM6lXoFnpqDlbGITTthbZvE
4bEwluLi6EnmxaY14rEc+yeT1OSOBtb2rGZqXwsirRPXvkZcfMBCezqO2fsWXXjz4354J3c13cDh
ds3a9tmgq56BWYvm70Nu+69hCfdgk7np/MEesG9AshDf63pcOlFxIv/QKmvxv8Zp+9E1IickWNVa
t555b62WN5io3aWYJBzFrF1gOhMh6az0W7KrvtlyRQYz5LOzQ69qcDuCV1E8mGONSlXre9vwsB6m
tvsWz+MHaza+u2iAn0eDxbXVadFrC++T/BuSDCTJSuzywfo+w6/EUjlU8z6uGIDjlFgUfZ9z+7HT
+fsyvNFA/VVyzFzZfIwWLHY6VuqUsZu4lNngk52p2RnwoGbZbUCqxDC7ceuy3jJs6DumPCrAJXzi
tetPvudQS0AXdOoERwkIj1SQzQsYs72uqrjdUVmV4LqL++ekmLvnlsXteq7dJecK6wIgJXgmPfWT
IwVgYCaglHo92Jer4/J2rohQ+ZusLo2Nwdn50A6Y7w6xYWdbDN5s2akIpFCpq32Sqp0f3KYAp2Kc
dwm+3iGSVyMV8S4MAn0nrNr/6qM4IkuSlXkwBpe+FdDOilSkwDULacq6TiH28CmAcIuOax2nsq7O
labEEyHA/mC7pf3oayaprzI0HxWZz/NgyY9+Vs23lpGCe5ns9X0XVrZxqGr8X103snnHZ+N/bUd6
LdxyKNqVqZEcK6bQ+WHFifODXqB23UDzONVo6V9D+v+8oKssCEJ0o3ha00J0xZ3C++GjdGzEPH5L
q4Z3Eu9aSg9tqe9FQ4Yuo0HtTN+B9aLDlfD8yWF9bLLT3+G9w93JvPzqGH7PhCrDm55V+r5nBW9v
rG6M1iDdexqNLeG8iwSZscq67KEzx+GtNmHr5l3gXplhzZfUbSdalBo6G8ZKyNNAT+ej2UNUZ5Zz
KCGv87cplMOtnqbxcYzD9mEkWH0Wo5ouCH/ylJRmvhOV7Ncsre1nMvnEkuZpBtOjOT19wwYvUKHs
Lp3lPmbBWQcHCdIHEzTsWbmJ0DlZhQ36Dyuyye2GGC0p6unjb3K2mz1tIA2QzazZ8dGQGwx+kpxY
2exI34Akakp4qjxVmBF0qwIcazPKhUUVvsxGxjU6IM6f8aUJgdK6GKBosZ+P/L8NXgxRzEdS8NWJ
NeG0TiXd1+vYznXoKFnsHgiCyC1XaXtDe4V7kI1bbFt7LNjvLyu5MImQLm3c3mvHjOctt4TWIztX
H7T/y96Z7caNbF36VfoFCHAebnNkZlqpwWlJ9g0hyxbnOcgg+fT90XW6IafyKFF/3/YBTqFQpXKI
ZDAYsfda38KbyWXU7rhhZ6qgqOwCakNq5i3JdOE+DOUE0Yad5x2JpPVP2hiCZaxP7zOaL9sogS8t
WAV+xLE3rUtsuz4Qk/43iqlpo4fkzOuFVmxlGWdk74JyfWnTUvtJ5YZA28yLgzfYmNnjSIjoLTXp
dP/nx/XCtui5m81uHMJc50zoyFs5JcMtYTFi3bvACdGpziz9EWWlSep4gxySIWPI/eiOWrNfYheA
wm9kQv2ZpqJ9cgbRrnqL7vDCbAxlHVNiuSGwJ1nqbag/mMUQfE/MqHzs4zzfCq8rtpY1BWArNXUG
yNC7I+B4qQ5durfL7oVCudi5mFxTqgOJtXKDVPU5Y0K1Hpv+6AmV21dE9N4azYtvbAyLN5oiiLAZ
tXLwS2DCOnHJmoHTzqB3pLp9vkclQE63UwJpWRFtPfmiAAiwUAd78r04tb9qlLGeRdtP97GJaA6u
AcZ5q3KLrSNtUIhT1TEsjZpgP+DKXGhN1y85FCgncp2kXCgYw4FEoZ8rHaPZdZkR/fI0fjrNEnQO
jW0dArrvWxw57UqvQ865NZ6ALbvRZmdUSvooPep/RVHbX73aVtYWOKuly9l2G6YePOz5Y4cLkwot
Ctw7iU9+jTPCW5Zey2EkoO1lkNj1ouU1UWYVE5yDZrqfmNFLRzVpekLq/J3wDd/BHIX9ntrTIxMp
vCPGPLwVSecR5UV0C9HV3jZuiB5wkRk8CzakAmSfHpBXWITjss0LD7G9MtwJkU4oB9T+d18Eyrd8
DjuaBGbdlavY/3lOqRiCt1Hllx1MQ25Us9KOFqozuAUpi4yRjvsEf8VasYb4e9G17r1X9sNGoer8
ZHSj+dQ3ivmUWNV45Etlb6I6UlZjHCt4XczId0jhu5lCpXkgdqZY4yDP19D4huOfuy4stPxl67q3
+gyeKgp45qCJD1ZDkHNdIqwrOkpYRPCqmwEa0sGpo2JdeInY5aMw1hVotOXQqBBBKAGO+04fs9uA
zJodQHno23/m8uRq072nmFgnOG8cJlBAR6ctgnWeOSHcIOpdC8sq0lu1TvIdaAD72SNPYSsCFaG4
G/Mx5HTM45/q6SZtCd/QqN5Qf/QM2LNjGrEEatpDpMQ/mxRAP4vCiHMrKG6dZsKAXVpgh8a2Gh/J
37PIZgStsZ5oZ24AwRNshCwEy5KT3AKE4uxv6PDQuxxWhpzoFDhSWQdNNdzWTsunm9gi9B+Qjg3q
+bmTrnQcW8QOEUix5tvU77yGot8iMNvqBh5AoWH3LMoT3qNiQ443cpm4cGhHmLq4ralnLJvO7kEp
Z9PNKEmwgQosN4auKSNG4UI5taqKvoO6HDtmE1VV1rNsqGHLqymsKqFOHiMicPsaY3HVF1tBfvOj
2jGd8mpiW+3F2k81xLlv5jRMTCnVn4C99A6JCzxuxWyRaLW8mDElxD3o/+ke8qqzxwI/rl0xNohU
9B4W8thXGMw8mxqB6EtWuoI4sXvVHnjnFSODUIAVaTiZSh1CpKe4/6UTCmoKfvQuMajrQBusA78F
dLcljX7aUaCxiYCIt/MV3TrRAD3Ys6KjRqBGu+zi/Ks+pDhsXGjmU0XiurBKQeiWNeo/xmIE5KAX
9Vd640Bo01g5hEF/19HzwkpeR9SAlN9ujTJWM4tnuOkQmDEzfOEygFyrJSunFbbNxnUbuS4zfF9B
EOOYYV9ygKTWdCilVGfNDjHaV5OFQC0a7/QKjHja2vmrUyiv7WTdDnprbPRB5vO+rd5RP4OHPcUn
WUbTsnGVEOI9TDmBMYKQG9yGAX0KL3WflQLhDrraknJ7WwcrMlAQ4+GlX6muIFzBwvSWORXXS60W
FEWn26SFVcXNUAU3VRGFmHBJdbDjjGwVrOQdytok+hHCRPBTRMjkHnYDfHV3Kr9Wpq1P1G1VhAW5
Hh2ixK7uiiKtnpUwLRZ81XOqZ1X3WmFr+epokBBW2NzSXdeP017HJ7QFy9f5SkQ7blWGtXlnus10
l4R28xUcRLru884ZMcU1+cqeAOUjBJjjLqJomwGP3PR1ypFczeI9vbmxW2iCQNZmyg8auiufRprl
NStZhga+c7cb0vTQFj/Z3hPOAVrhRvM6nO6NbpX3fZ2grNbLTt4F01juxBh520SJ2o1wMUbpOT65
RUphmjpew1NcUZ/8aUZmjcEEzditqYnkvrBEucH21ny3G/ZXdNIi/TjCo/hOS8/ZYwcvnoLRUQPC
YjrjUZ2/kLaWY8qK3MgfiqI7RLFrAqVuxRPdJ8tHOiL36Cn7g1TG9BWSE/j5SOPhlp2ABONU+a+8
RZ3X25r50rZJSemZzuFeQxf8pRGQBm1ltv2NPZkDy7hFnDwqwvxmFE4Oj8girwKaYnQslfF32jvu
s146MP69ibjVMJsAJGQJ6J18pJFIPsuyifKI2D4oeit7bFjJkizxiSAl8tV2yNrI+NruR04VZJEZ
E3JtdxW2cPUptZ4AheMvQYIfssovKNy4pM2AxUi16qkxEoN0sEzGC9V0alo+7Iy3pWfnpzLNyy9i
yvRdA9uoYD+fj0FIBTut3I4c0lYqGAfRzyq/R5F1VDURSWmd7T4KBYgo5053yylGgj+Ig2+ZoYgv
fBSzO7aKycugGeW3pE7r56qrBmdbKVR6FzGcpJQu3Iy0A0Opc5gSxb1paLKArxAPP1L8hj1leAnd
Qu9+h9KVi47yzpcBGPfBYGf7WlSg60Zkryv8rcep7OnftYaSbUXq1EvJo/qS9uRdLijpiqMJBeOY
sBkiYilL2rXrWpgaQ8Jd2gYJGO//L6RWNCP4pkERpTY9AwGmPSC+7i5Fk7Aywyx6HJrW4MOFtB6H
T3DfVkb501CqH2bSyh/mOHydQAObG8emqqwUUtsm9cTKXikGZI85ZdJzMBxGUd08WOTyEA9CAJ0d
dSod/Z6UTWY8nZHS3EZYGEiYhUqKVb9DuQ7EzwdoGf5EZUBAHishDQSFdnQ4OCeOOnxPCKD7EeSg
HqvQezIHUx7UStO3/Ck6eMVafAVK8cvJ3Oa2L8X4M5yCnvRf6YIbNsbkxiPxcts3SD095F1b2vFQ
fBSPm2IEzhPYLvMU9yW95S7mhW08mhkFe6oxIkTYItFQGJF+xxnkkQU5vR2qyd5D9CCeUwp7XWVF
8FJ66bTMGumStWokRxt+LWV4aBALvWF3i4KiXoa9LB4KesjscJX7PM8FQUljfh/Ein3n1ITb2DgA
j1rUG29aiOCvTCRGMZgv+wAd6m1hDdGXzEqtrybk9iIEdIPU+HtC2EcQpe02Z7ld9xVeq0kM6j1c
OfxiEm1/KdISE7iRfRWsuEgnZ/ub16vbJutOYQeOcnBUe2+E5bgVsvkReYXjw7Tji8VGkLxMQE65
4fVf2Mo5e2kiO8YclrL/LYu3TiQ9PDtR/TTqpPreYnvFWRsSJ/WzVJNEPWhVFxxcGSQrqiWSydbq
p05XhnGpkDTuHeOMuOplWdQ1eOamrKxNXQwTR7Oo8Y7F2GSnIgeTk1ujt43AkqwqSlgnPJC/cTx3
NBjYqjS10RAaJF9BxuV7K9NzcDUWh6S6xx9O0Moujz1tFh37Cv3xPe+/hdLRfsR1Pi7NALUzu0Jg
Q7H72upxt0LpQXJ4wvd1lNLvBvvF4QiCef2L1aj37KFI33EoEymdq72aXiYPZmkZa7s2KKSkCIdD
zH+9pwRvkW1Yd7iE9Pt28N7qwVQeCXdov+m600Qrqy3BSnnNEKxQb8/kaKvcqt7QIUioixVmIGik
aHeOnxdCP1ZByQ51LNszXU+bLXR/11pt2s9FT+6OL03qd71CMS6uSuZkveU8nm8/H+1DFdydR/M0
Q3XRXRGP9/dozmAN7JOcxh9LUsjVlr/EwIDw5VfZ6t8PpelEw7uWjjzlXKmktnZF+VHjwiI3PA2J
yScj6bUbVSCB/nyoD6B0rkrTHUwN2K0Y8eweaqmljsTKNH7RAK1LM5H6dkOoUMDkXdThkG+RQI7/
tkjOoLpmaAZ1OHRa54OSZ48NDEazP5JFjdGdv9gNJTvOpOaV6/sg+pqHAgGPC8lUbSxpfz+1lMV/
qiql8Qm6NWZ4mJKwuLnJLtWpaMJyrXHJalQQsym66TIU9J/f33lW/EXWnMc34OR7c36Frp7NmjE0
qwhSW+uTV0MBvuAC7Vp++3yQ8wwFaP4AxJiYljr3imZQ6Pumw6DxuRCe3vhCULp1ZMQuInSM4Jjp
6uRPI8LynoTwddmwSf586Evzx9BBmKpwPT1t7mm9H9qzzEEjdKiZiyQj0SrA1amrUAh2FBVuhgHz
kkBF4kQ/H/bSq2+YKPnm5hSdYVpf74c1Ws8unZhhnTrJ9lref0NqPfmhzaz1HObv58NdevcN1hjV
xGHkasbZDQ7xzmu4BxmuFdap1usth380GBgzrqwy2nzDzicMYkzd5ATOQqOe31BYJ/88S3vq5Gv7
Z26OQfcLDTghYYDuIfrb6tZ2J/UlIp3VF5JS/OeXe2nSApexHds0dNP98NI4hpgIxmt8wwnNe5IS
qeaHLLGfj3LppvII5/aVSuPzPNzFJIG8M3OWnj+rQA8Ye0ms8YCLg3Coz4e6dEGmStC9CV+GFuP8
q7zryqXDHM2FtsuXEi6qLssftlv++H8b42wljS2hwy1gjmi46Ce72Zpu/o9P+79qWC9ODuYfukCm
ouV8mBxe4spGF41fsXe9CTtV3+tYeMmMkPFzpLDC1DAtZik54i2D7r8bIEf5/Do/vnqGitke6AIJ
a5QuzlY006owp5UeZiZ4evhghQ3iMK1JsU4gSlResfp8vI/PjvGIEiFs1tJhJZ29ezXHKnesjNrP
i4ENij3eoxl0rmwlPs5FoE2zZprSrm7gjvt7gnghGbAkc9Q+JgD0nFUJoa7qvzgJvYzPL+fCSFyE
a5Ewpllk8ZxNE68lTHYc3dJnaSOVSmkPpG2cqiZ5/HycC48JTBlqbJ4VK9efhJR3U96u8hSWp1P6
U6yum+xFcbNlkhZLaET/pOj811n5UVjtouJ+N9TZN5YalU1yN0N1vUfhvjCJlZfOP8kK3brui+nb
iGdni6I9aFa1SXVfxbL9nfglZS0mUtETur9bvaWMljcGBfDcnNK95SYV4mRCXEIZTTdBxjnQrAsD
Rw3dIs5VYp3pRH3snT4bjrLsqGADRM6WlNnQMULauXKhmPHP12a+4PT1kNFbGmbQs7UZC5JCjm/H
PW0j8eTlhXrUevdhtO34JZ867BJZRv80C743QxoCmSPtKx3s3ZyeFlt0ZrW6SqGsfMsDDkbCJqK8
zIlBd2+mgMJSXqb1uk1nkCFEPmCiiQHtSJYInnrMaUqidMvBLE2f3rZcCeHqS8ZJgO4ozpfURMuQ
pGiTBtbrlQf5Y3LCgUyIMvO4W7AtAVS36k8HrdaVj9aFuaZ76BBQsGD/0Z15k/BurgV5X7P7GLkv
Cea8XvOMHU998MOkQfVK/oz0P5/cHzc8hqE7QBUwO6D5Pd/w1KXZ97LKS99zBWLYuMzXNZqpL7ZR
iW0ALeNLROn1hKg5PHw+8oXXl92cOpsoXOfjmaMJx16JOpuwx3gcn3tcOpBMKu1kaXby+/OhLlwk
Ag9WI2od/P9860hflPPm2BV+3jd0RTBUNJRrscKRQtns7DaN3WVLgx0ogE7R/vPBL1wn+6oZY/8H
bHHu43AIdaDsVBR+G5TwW2RxCgcSjt1kbK58Tz6OBH6O98lBYYRbe3atvJ881IDaEHcgkcqu+zSO
hVzp7oCfMjOMfz1N2W4gmEIYxelDPYdjVJgLurDvMnQFnVzh/PARSd5KadkbCk+//u0NNNWZ3q/P
thrkHGdfFIKxq8LMai7Lyg1fqUaY1UDgNWIvjfRaTt7HF5DB2NqwNbBoaJ9/vmq0IZHd5VyZYp4i
Q3kimvJXMhinUNpX9iDzu/z3/pShOJbaXBprvnV2XbiF47FQEGIYVbY2qJV6pQXQOesnBOX9njLl
td3o5RE9tqIgMXjpzj8v2MLdch6x1vp9CqeoHAFpNeSmdBFA2qjTv/z7R8fGewapEEtPt/fvGWm1
nDsEiDtf6br9CHjaNFOs1+qVYT5ubAj7UzkaGiCyuJnzv3+3avauOsQxf7SP+105KQ563mrgi/j5
xXxcRRgFmiTOJB2/6Wwkez/KQDIk/mYtnWMMkNB37jJLujensO+TWtBQJ6KMHK4rq+RM0fkwS+aF
w7Esy2O1PBsVt6vwOPalEOrILpMwFfnWVel0M3h06aeCJjbZzJmOSxhe4RLHDLh4vBxbMdThLqOP
vMEEfppGq34g+pdg7KpiczBvC+DkWQdkcfY3T5e2D5vduvLbX3wwM02CZqDroeX/+5YhSYjm6OLM
pzpdQOrykr0yUOf8/MFcWvewyc0lJRx7H7acuQnCtQjLzIcjh3C47H011U6uI67tWi49CoJvUFXa
ts0Z9u+rsZwMUFhNPrg+VPC8SHLExKQOm8+v5tIKZLMFgGTKoZx79/coU6LqQ9gpKeKhFquZw2dq
sDqxbtvsJ8EG/34XzZkRmSifDLyRAD7+Hs4VsY3ZgVd0TINf871rYvs+b4Knz6/q0ssz+wUdJLkc
DM6n8dCCgphKXp4sBj+Wzjx/LbCA/oFHa0LLfZWQ7HZUC9srn6pLax6KWJN9NZWyD4ceSqcqht0+
9UM8O6JQXqYk3FTJY5VMX3kRr4x2acJz7NGZ7DNT9vxuZlyjYwOG86uwSrc5PNt7qSfK6vOb+SdF
5vzTwU10dD5H0K7OD/xepw+dRckdgqZUH+NILTcwJtCjJUaf0Ztz5LdEc8tlV4r+th6L9GhljrGN
XDSd00jothXiutbqAL+adNFjdF1y7XSrXbzzDids3kwDf+3Z69IErWrJPOdrM5i0CUT9ogkPbpHh
trvYcZ9gXlRLwLA0MQojfkxl3+4Cr/wRoeiA4yFIPMvNHVUkgJSjQvB2xHV8fiMvvGv0tNmCOo5B
cfH8g5g5/A7xwHZbFtOvatLERq0QUwYZ+pXx5fOxLtwOEoh4sSGrUiA+38boGtZHCFBs7QPtl0rB
AWCn+tKOuNIdggrxxdviyg7jwkunaXTs2NHwxfpQ1u+bbCT9o+TyEus5ikNlqaPaoY/RTAtDH+tv
dSPrFWqM3v/316ppVDGpSLFBPF8pTfgOceO2pc9Z7VjDMKEqnd1TjQfZk4aPI1F4V/a+l54kt5Yy
AN5kj6Xs72WMd0WK1qxLX1HDeolFDVVCYYh7WXu5n9scpD+/wgvfHC6QPZTBh43N4vz7vNty5EFj
RnHJrR36kM6F2ciVSg7IykAR+z8ZygOa5NpsGN3zj2jlmLHIC45omlcWd3gRp0XjCPsQd5p2Zfm6
NEfJiGZ6gmea68F/X1WPJK6YqAz4bd6duqj8bVn1CbRXQzJKfe92QBP+/W00MF3oFg53dohnj00b
6LVBLy38SZ/Q+DnyoemaVUUd4MpAFxZmSuqqZRhUnjHwz8/z3fOqJokCLOAImIXWUzgMW3eqT1eu
xeDPOFuV/xrjbE54CpAl02QMBP3aAmNTtW+t1nrQOxtudUZgQxyqcmHJplq1pCh8K2WD/cuiV9vh
bKL416GGLGI6vSbwCcXQtLUkv5pUAdHsAadE97oHp6kY++B7UKnFFmorbenUJfikD4NdZLk0KdRh
uLO0Bq0uZi/tYfJyxFaF1qabmYe/VXsYfxyghvAWPxO7wzKGrold9jYanGgLI3DcZRYSzd6I8pue
SBpSOLxTXKbtkjucbog3QPMTIRT0ESfC1JNTtQ66yEIsnMovpWnESxkn3ebz23tpbvIVBxBM55A+
xdnctOsWRojN3EQm/FIP4sWNqlsTEK6RlzNnvfwfvHbsudnsUb6nIXQ2nhWNRU3aVeHjaJ1rTkep
pzspiiub149tNZNaKY0t9iaU6byzYUzy26BDelCU1PS+quIGzaD7WqffaELfIEhZEoTxIyQx/fO7
ec5gw/gyj0uVljvK4fp8Q+ZVeY1D2KImUo7TcwRKaUGGuXKP0UXNCDryOOPUVh6sRdrXRGcgEiQp
k4W81vudhcrfIlt8Z6idstGEWSwDhKFMuGpLv5MOtpf8tCB+L+SAFDB1pnDlCY3gZszkq1ALvuqp
2S7dyYKjJBJynQREsnXC77MSWfUbz4d2B5QNj+cg6w2OLv55PlnLqBXJ2lEc/bE2gO1/fk8urek2
8BbHow3HA5kf1bs1IlZbKy9SgFaqeBnpFC5GqW5TTfRXZtaltejdOOcbo77qYZUBDfddazYUUm9Y
QrxYf34xlz6INrBv+gr022zyDf66GLXWq7I2m8Kn6eQuR6tYcBh/KlOM6VE7XjGdXRxsDgdn44u7
7XzbazcsRkXGu6JENoyNctr2ZrVBAYqWWsRXbt+lhcCm7M/XAsveh81vNo6GnaCi8pukudfhSxNt
MD6VWfNbxGgWIvvKndQuzYu5580BFgmBc96nmdoq4/6yT0uGLMLlpWt7d2rkTqcWvwLFHUFjqMVy
qDzjISYCxx9DTA0heJUbNyQLxyvN8ZuDJQh7RhCa05X7cfHXY0GkjET9lvb130+abOxWSSO2ObKu
fhte+Bjp/dc/8WSfz6iL4xC2hdEF0caHzUHbK2NUocfzOYlWVHPES0GQE3FrzZUP6aVtK8UpRBvq
/Bfn7D00pIeDA+2lL/CMRC0SV1ncN6WFX1q7Bap7yjPvSqHi0gR+N+T5hjWZzAyNnpr74HS20Ax+
e2aGuN3eN2V/5cxhXJq/nEhpkrF95Cx8di4Ss+d/GhxiB8kC+SGi6k3GHti8THMJc0rCpVIpMawc
tVjH9ew1ULRZmdkg+vP69gn4K6Tv2m39TsexgKsNn1EkGvjsXrlyCxLM4bS6m8GR7qNrsWqSpdsi
mFLaASLMXNos9TdVEp3olO5qqNQfSdkdkeJUa0zwv2O3l8RHGvGa/Gr9a4Xomo+9bl2ZtZfugjc7
dSlxMG/PG7CErbUAFSt2ftW0m8QE7141nyziH6mZQs4c5ZUBLz3i2Zk1h7NSbD2/7VWihWPNZsiP
aw/gW9U11QYWo7sywiAjlnPWpH/+wvzRTpxtCFHMECqr87pwzDx70iGR93RJs9y388lbRrKzv5qR
1hNUNVqHqMyyx0rPXWhzKCf/2AXciMjsvJvEWiDp2xIeg3L981/qwn1nszFboD2MgR+OvJ49unDu
jMwnVs5cR81IgkHEtnFMyvaJkMsJelT08/MxtQtFTFQJVH3mVRvgq/73EhUO1lQR/s7SMQVIWY3Q
3CBINTZt0LRb6FzGgpmCctLK1h7gIDK/2xTnhfmf+OX/2mA1Lqxhsy8cOYbGMcc8L++DhA9JzY1z
fMuJQWtk9jXERjbdo60urAN3xtmJBDUyFqsWMg1FZDJI6KPCre7vpCHVzTgG6nNksvHWxaQ+sy0u
tpFkSuGYAnk5EASBJP83YOYFS3a/Nu0kWqMVNleNUgg/smtnTSyGs3LDg16mJJ0axXDLa4sJjfDx
6SlyO2+fqc53tRvTKwfzS9dPBwwPujN36M8LR5TbkqwVBtefpcPXCFmaP9hD/ETSSrT5/KFfGgrh
NVoD3Oh8Ns42IDSd6hrYTe57cL5XVe3Obr6hSvdelIVPn4/157mdv2lz9dfg9Mpn8Pz4Xyh21sk8
5nDQE6e6gM5EZMA0mdo2qMp+VTiZdtBKNbgTgy6Puq6E97pQyGI1smpbFWrzz1by/+d8XckBoMY0
F6z/L0rgQ87XQ1T++v2/dm32Uvx6T+b7z3/4H4oDqAZNp/vGBGXxdOl7vKc4zJ0EBDNILP+COJAS
gARqFllR7qXcxYT8PxAH/jjTAuBgGdD+/g3AAYECS9XfM21+fajuImDz6DmdLWV1E3ZN7nkUmrCH
ceCJyq9QJgXRPyTkEH9hPcu872/gCsQw4Kpn6g3KTpXOEUdIli5zMkRWVWvm916fF3ccth6tQA1j
Eo/qZFOafI+mTsH0qDkZZB3FAVSE4cBtnWOVoVlFzHqXDLJ5wVd2Y8vsxlDkNsDAvRKN5S15Cch2
7Dt30c8BqmoXH3Pu47J2qmJB2G+9UIkHwIGhAyFWp0PpqXe2hvXQa+RLOUhM6fiZRpPiQSPiNywb
6SrnFDxvFY6OMWxljPgCePSblxY3UusfiDAlYzTuNqaekkE13QFqOaghP9UkymKI4pexEiUQl+nV
Euk+67WZsvBc42wrswCJSR4ZbGfm0E3XXki1JfySOPMFndGjJoxnMlZeHHXSOE3IB7VJb+Y7IPIO
eUyavSVVoSzbUCQbIxvLlZHLFFELwv5e9ifMOg9uMdhLSumI7DPvVQZExBA8QjNgPJDGVe4m1t2l
IltuDKBE04r3Om1QWLrDyY7GB1mZz5GR7kkmfmnq5KWcLOJ1oGctMFiuTS4Iws4botE7M+NZjYYA
c4cJTZlNm5jfiauJ8BaDccMRxI3SI4CIeLewn+kqZYXUE8tO6cuDqGKyupX5Xkb5S0dO2UIluBZL
Aa61eazK5AeUerqTrXondLklCfiguSEgm149VE6pLOnjvBkZP2Zp8U2aDgfClCzfxfqySHBwYTob
H6dAoN0VdraK6R+uSKFkCxmTrxp55vSlsZI95YDHxiRpLbKGU67i00ZJwCkV3xcChpeilx5qoeHV
LadDr4dzLnUTH9PaeY4H9adbG7eejInqlNpm1IVPiGpDB6A/TbXlUxITTFTDD3OekaKipEpFjzG1
mw421nuYrjxPIq6NvecwE4ikEYtaz41F1aqPRai9eoYE2zA0BVhJ5KpOf6qb7mQO2VuOPH+p2qVY
dflwMgItwnInqk2mQzSabCVaalocL//cd63A2eqZz2VdJBvbtI4Y2JyNmP87rpPPFPh0iW02dprR
n80bC0UbjqSNVz+SgM+Gk0Qjn/OgvzfgiK+yIYRIXZvWcvRE79fO2NNctfpdC6R3N/SKcptGY7Ym
XpMkUxQMGxUG+j6PCNyC7ma8Qir8AXUQMz74uJBZU0KOX5GGWiUrL6+NlZNO8iVwSpxlYQUbgOip
unhMi+AxHxS7W03YfWOcc/FyiIKjWaQ/GmyEyxQQwRDZyBqNeFXhlFzPaAxt1dDfTKAhNyFIJJEs
bIc4eCW6K0rA3KhgH0tFC5dtZ1nrvrNeYH40r0WBIbNQ5s2MXS9cB0NqNXn2Jo/zbqWDzrrThCUW
IS3SxZTor6UGB7qlyERctbq0B50cXqfkuY28Amxxsa6RFrEakM3emqpDirXOpBtT59lR7GOn13IX
9M2bIhukiumVVu7HwwCdYnS5oExtimDn5fs4sc0OnXXpm72C/6nj+B64wzHGKkV7xr6y5/64FfJm
bwBqD7TIlBPPzgGeKbvCHp3Ch/1frgot3esYyxc2dIYrI308OtNZYrvFYHM14PxUJR1nMBK2PL4u
0hcvYDWcl+NEk+MSXy7IOP5OvbLRm4/jf38RGXMWcCGawZV7LvIIjQKOY0sg40gy79pq+1M58GKT
8OdLxcqW8/Ui+Ds0Lavbu73D3T+DvEfR/kmK+DA2LXmk+hRqP7R9KuJwwMm4c8OiMVZJmbt3YwCB
neXikJRJ6uOdeZUt5B3ai/0+6VveW8hyoFnG14iyfFhMB6RMfHXxSHperiyTDsKDKw/SZvl2bR0+
n8lcLZMbwvQ2udU/DHn4qEJKWNmDeezcTFkOJed0yyqr7yGyLIJeWB4+v9ILU4jKJCGqIOkunF71
LPbyUjcLP9LbjVmqdxgr7/KpuSol/9jEoPkzN5Uda9Z4n3dkgI66A/+Suepl5q6llzBqMUGAGYtw
QcwavqT0RsAbvM/68c4Ran4fhXxDzSl8q3vW5XmrkqRsIDR9OIRKGyw82Z0Uzz4aTU8LmuXequIc
U2hkb2vcOc+hpY/bPNSr9RCP8aFTm/ahSAcsiHz2Oz029yJ287W0RXkwi/iNoC+bjkXGUxzccjso
yVtQTo9u2G2IQ+DjXRl+NFp+FBUx2e742YxqOKQOfCBSKe6cER86vBxt47nKj8ZKCZ7X2GN9/sAu
rDA0I3E5ahSxdKJTeGveFZMnB4ifqRjUNyT0AbYTAyubRf1soUjjyqluPkqdvwUWnhyeFoCxD0Jy
oqjJYzYpv1pp/2C25KKX1xbMPyeoszEoJqOtmv9K6WD+Hd5dTxzVqchUFYS611ebNsYKbwbT67zS
x5OBUbABkqGbvqfoRxl40dopMsQ+wRMR2T9duweFi/pyQaiW4fcJH/HIY3WqxvxG08K3yZYGdJUY
fYhBDkhi0UyAldt+yWJ73bvVN5cocMAlbrgzx3hGvLBvQd1PJBymV6KIiFAg9knfdgPhoqoev1kF
UxDv7U0/pPvUwnnl2gkbVIJTSGKolkURxcteFQ9loUdr05iuVBTNC28sz4KjKGdteo7n/aNCr8RQ
jnnhaySHLPooh+UDLh/vcMo1R9yBmO3WKhvdY25BZwraRsWbmAPxYC4DpVwrdtFtZACpQdhaueoi
9VkmZK5gXJoWaW8fg47idxdYx4h8r5XVsBJVpSSgKQEjoctXRMoL+EFfB4PdIRAxTNfKsE0j9XFk
I7aogqjaGpncwj96CC0b3FLD/DQxaC7AkZEwA0lzlQcZpBBrevSqpr/51y/JDKrjf8hEPqotSVp0
MiHpuEi3WLHFgYUm+XVMtVsE1TXBMf35j+8J5VZ625S/5vLr2Ts5E7Nx6dCgbfS2WGt2S700SPYB
XyqPNNjlVDIlp5EDUq+zTAEMeo7DDDYNG8CuDOxFWXjVEtRnvfbsiaIQtZQFmIefbap9UXr3NvPy
dhl57PaHojRWRtW+5sn0MGTjIXfmjzHTLDTSl0DOu1QJbm1Sb+qOwImh1AFSAe8RibsRPNI/x8vJ
HIxVbPGDXgNWRxH8F5XsN1XQiUVGxNtucIe7P4egoBjKlcTZuy86eYqpMq9cpMfLqeaoZ03y1Ai8
viOhI57Rn/RUu6uVeG8Y7NY0p1tBBSaRmr9Rcv5J0M8TsuoA1plNu55fo3awjqUjT3Y4HyCsVOF9
qpRlVrNbUoPkZqhTd+VU/HSjWM81rJdlQU7YF88aXhshVrLjBidZfBMbnFk8BJtLMzOfk6h/kKSN
Lo3S8vsi3yt9sp/ymuCjkBcYLt2eQ/H2f7N3ZjuSG1mafpVG31Og0bgC03NB35fwjPD0iMzIGyJy
I2lcjTv59PN5qlStlKqlaaBvBpiLEiqlDA86aTQ75z//At8C7+J4YGHydrhj95AL5xPeXuUxE85l
aIe1hDe/ujdG09KkmHbgjAcUfMk7+6PVpH93Hrv/4vWm1rlzMh1meSgGf94Pc+yDtWU7QJre/KVs
hyucywv1BTcPm+v1vf760WpXhNhsu4BK78c7XybdlkTlMdSKH9MFVgUd5J8gC/BHaaSHchr+CpM2
6MBTP+9z0Ro0aFmBcNVOESXl8Rdt5MFDjSx9vcSci92SBOeSvRyZgrxYBnuM6uaXQVJumY3E4M5M
kTvE3T0Zmso6pjHkPExI61upmDLbU/2tG9hBEURdG0wmVmifCdjrr7bTpzu8WqcNbtpyrccF/+rx
piJQ60IYBLFU8xe3XeptU3dXHEfUPkvdy8AhQpPZ3yR+RvdqvvN+O1//P8L2dwgbLHjrd7vsnxC2
h7Qsv7VVBz2NBAyiOw9f/+Pf79x5fuq34IvgF9tHfIEiml76Dpb9E14LvF/gwQG40aWwTULb+0+X
1OAX2EfYPHOWwZZzPJb8bwCbJPoigNp513RDxUUW+N+JvoD78/NOfUf3wHE9KicukIPhDzu1TEht
hVVgnkrTqBLd48DkGutJlBG6MjGRyI6RaoX/94AD4gRTBq193UksAHLiYYolLcMa86SHaY7soML5
Ri0fpoU8oxcRoBpYj634HPtW/FxMvbdKY9f5MNh294DrQve4gOZH27Qiay2sUAQ9xCP/EWOUKah3
NMDZvulUefLUtOyLCbvEppOfjdGOAL5aPfkhZjbdeVBEJz7LjEP63OIKZeIh6bILhnYh7+aRyD9K
qyX+ya3MMFAMo+YWLQWIzFo2plxhmd2/Qtwbkynsh8J4yGTqLKEmNqDeZjzb98ytCjZOq6wyZidR
+iySmW0igcy4alI1uAebKcZXJof6Pf2udWgJWthZk8KnMJg3VAbpqjV1Cst4sKydstLbnMns0VVe
pPb8Ffkwe7zr626SKVZrsJDCxsbWoBPG25Rh7embqhgPTesZq6UM5AbxEtkSg48nyJJ42tksttFe
iWRwHgYOgo3oek8cegIBQLwWQuyXwvfe154TcTzNln9oog5USrW1k5+IyGz1Cpse9XEYmwQ+lOWt
Mvgs3IN6CDW+FUcXJ2mwM497yXmahhZhBiaG8PN46vqOSC0jrilFU3e56pIN1NxFmOHtM+FythD2
GVrdyOhrXMo1CeFDQk0LDOvPUbS3q8L6WFPaFvhXGcstyKmxQZ1GL93bd+jqBcSyL8lGQzFvbvrS
tiZjgxVE0LY7q1ez2R6S2MHMvlC5k4q3uF2amCeHz5MDv4b8Kntl6dq+4O42biYzwispKMUhHRZc
WiJ3EyTYsGdZNZI14jRxaGMLvsKDpGNu1ZHncBfR4WgClrvJcThBwubD/Te8WzY5kEutA1D1g3N3
oVows8dQ92LrhfRaB7OkCU9bLyu3pZu1z4aRPE0QlEg85wrjhWzWYphfhTlihuilEbl783sTMxns
MyGqLK5WZ10YWGI7pLxxylvHgNlWmLWi3bQGFJPCnlIMyvJqO/pVejLyeTmYmlfTcnPrGWu/T2Xn
2ytNjGOIE6WxsrEN2Val1xHkJHHmx5/9c1M1+bHBjvWEdBWMayF8uqnnHd6Aq5YqdWsvNOeZoddp
YZSrWBukhdSCxAy8Sr45i/7oTYLwkgggytXmEgZ2k/krWLjjOujn+IyDCrSYFNKShg3epQaGgFUq
qP4cjMkbJR65enVSzmw0ZNlj0I8RQ/+tzut57WNKtPV42fZYmq0zr6Y9jpduX2l9KEfnvZb5FTPV
M6Hpu6Dpzbv76i11cSIC4j56gNkgdodyKSzqeaBfxd2P0TH6g/3car3z5+lBYYuC/38/cbzm1IbR
wkwysl9cIuvuljTtWhT5t9w2G3zGRmwxscB6nxrQTrQQq6DDkkZ3Dptg6j/Yd6NEVSB9Z2YnQqg8
9hMWjOXmDqauvGAYWVs1U3Ceh4uClELWSIJ+7zf5l8VjmqYxLjhipYY2s8H/AS2iou/o1L73me/x
VoinONFPJI9tDJ8vtVTlZfJt9Zbfd7Osj7w69FVrnOrasq+ppd1jVRNsxANrtjXkmVd8+z7iUzzg
Ljp9TzoiImKvRUOc6hxzqzvJ0YiCYz+TqNKyrT91mHGF8eIGh0x518htnsahMzGm8/xTRTASyXuZ
231gXwGgHLxoCGvZqYuy8HzUXdbtTB7U1qx0f3FiJ7nKaQoemsm8Lo3R4S+J5VhsUXEH/TsCK7Y4
0mD4qWoPeVZ7bXGg4A4REtCbaqtkJrm8yn5LbMBwmXA6aASkmUBvqLpbXmbu1gKKeD9m40Nt6GY1
4fP17Bnq2YmBbnNjeGuX4KMbWwerB9+oRV9DtSRiL7HGLRTcQ+WqHX0eoJTS9sUSsd6NPrisMzsb
p1naO5/kVqO2YgFnMDsKMOaTo0fzkgh57YP6nLfJi5thtGblhPUyDgjZaTeuEXyyg7FdSQDs7L6X
1ob/6Ldy16Zquk48Oow0B8pStlH/UxbF4mOO48KacpVXzQAds7zhAdB7g4vaEa1nt3UGbZ0aV/mh
HmrMWOH1J6tszv1dTv7wIam6PQyH45BG2Q5YAZgmMGr8w4wth1m+WqLAC/3Rvic2Y23wBcc+qleS
ov3LvJj2U1LYRrh4jX7I+9RYzeOAl6tyks/IvshWsPozEZ2cCWP+LGxSnrGXDIaFg1UFwcZquvc4
T1906hVfhqlE+jp/JPoj3wx8H3fKqoxBkJeehlkeRFOIrZ1EKISB9pbLhNPdgAmtrtekgYiTkzrx
djbkHLZ9LF+jqq8xDBd41hlNh68SGUolhliyfAT7JfmvahJ31XGu1SkEwLmiVaCPrbdlX/dnKy6j
VWpZ9T7ozTSMpPGcGOP9eB7jdeWSouU7l9GE/WiUefnOjOsBWfKc28wP50X111IZ/iFos+U4DfLZ
nsz6M/xdLP6iAvvlLT6xoMAyFxC6bbuahz3nrEXPGXwpjOFRJF666uyxu7ZO+cgkhuTcDGeqGbOp
DJJA20gSjCa3OurF/eC3UKSmFCzbEN1G8PXWVpnrT2yvAL9ijt6Im202I1SuA9Jza6OqIdm5uYsR
Jc59qwJYFanK8BrE8ARL0zcecMTKXuqgA3kYWv+7i8Zl3YOZhU4i87eKmcN7bzTcMOv9V5nRYRZ+
4b14uBmujcgl1sRL1K2MS5OQW/NOLIG4ISV98UQw9rjlgalQTjLbaj9lQw64vJh8K0IvvtZN9nk2
De8aBOXwQbYDznV9csnNzFnPULMwaa9FsfJTeP+rpW4IwjCb/NQuS7VXfW9TI5Txg7DyfZdF2cpA
o77p+6C6+gU2sWy3Sf+EFZi/XzxXfzCWYM/QcLoNLVQY/G+xhg2WLD2XXfeVRvoLu3POJNEN1tho
98+pEmSwy2BXB828dkYj3US1ywEBcWwNm2dYJfjKlCujUtallBCwkfbpsyJyhT6snc8kywf7sRLT
2kv0lzxGPYsHdioe63oQ79kg22kjiafxQ7cbk3xnlzEwc2FnHF6tUZLnHshTjFP6NqcWfDFHxkur
ys99nFTsWeJGLMXnMnfczzgT4om73I18o4RBKLFR+Jhyzy2Ui1gV+5THxUCO6GKEaW+uS0kCC43K
PROlbDDZJx9pXVB5rBI/HWLSryJRjMmp6UdvmxVD/B5Dxq4RDxRaK7KiX5pgObjW+BV8Bjy5hl9c
dPW0wXjcPUQlLobL5ARkvps7ntrRUUSsBulQr/OKJLfJ7j8NnU0SMXpwfCwjiV1gFYUNCZcrIm72
iV3W4Rzd0TJf5HvZWXaYNGo4lgQFRI28qETJ59TGpSSvXf+UJkV1Ugx9IT0H7+eFaKwBCzzYQ/bO
FJ9JuKdgUlGFUUP0LOKmCHNtrSPDlms3qdEFOGCkOLgcG3cuN56GrVey7oqGGB24NmJVGSUQlD2s
fQzi2U5SJ4QSMTBpwxlsyZJPY4B6nwJ/SxqAgRtq/TxVZbVBNF6HTlow1wAMQR1WrGlVyErqDLw7
mddzJubVoarsa4DuaufG8kte9s9VPTvvDBcr9YI+xSKZfjuNpb2i4V/X9gzsWpNCZTSMWAiTsV7w
hsEILy+K56nD9Q93NY66GWMdJRheEpDHvNhh5mapCttCsgcKXU/bqqWmS6so/Zo1Yo0lOZbEKat8
yt1wNhEZuJMfPXsiP+ukty+NfZ+b6/I7xW9L5E+7EWqpVolBPNtkD++mpE0g9/XFc2Mr3OjsPt5q
uww2Noxoim4fKyVD5Q9E0t5Z3lmxBebRF9ePPpttA1cdr4ldMmbTk549Yxu0rljB5aPqEXXwzqzV
pZzm/mKZ1aqoMO5c2iYLE9ucL5YKjgbSURRslVx5w0Aud+CNZ196Xyv6jVwYr5a/vMW1u/NE259p
c2duRrYd8+UQ+dmwWQxjlxMC7ms0km5rnkWr6r3OmkfMLE7llLA9Ykm+IiDX3NY17e1gNXInu2EH
x0CEUqkTzkscoMo8mpn/7MBYCGW6vE1e/yXq489VlbF+KvnUdw9eFT1Xw8IMfirjT4ZhoWS280OX
LkQZSe9M3vdHv66YmgXVLuNwDLGbri9RRKycUZribNv1k0KmsjJaZa66HrNfUgRi85JF1Uh5Zjz2
uPn4YVZMC0eCivi6nAQaJgqBs/Ds20PDCv40N8k3mY2skYjItkRabROOdg77PnGK17xSyDzSVBRI
Gcl8ZUQucwq8qvHWkCpKPPggGwzGpJG3udlOpUZM5LTVmMmqyrr61RoFw/GRxOTGqfXzyNzuMAzJ
cKCqzkjSSsqdHZT2tp6X+DSavbvFxu02N8iSIOG+C/xePZapIb47adufliR1j7XEMc/K5+wIODxv
MfJvbnYJH4AA6jd6ePVAshQNfmwSghgPq6Gt4rOciMLqoSk9IMqwoQSgRZIMTNcKW8/t4NkGaKHn
r5s0pgAoy91QSnsdM+QKC4wqseLt7paHs0FYLf5ENjJ0t1ZyQ/5k9M4VnQu1b/7sF30AHcB78+Kc
O0ZRS1IADPZGzQe0PSjIxuEiioqyok08zuLgU2CaRKzA3lyrIiF0unZKyqBmWY8ZH98GI4kONFmw
IViuxQjfRyHKYAxUTZPakoWZH6gbD15RqhWxjsP2Tg3csJtjy1o45SbP0p1CskMz5V97Zdg7WmEQ
Fzmp1yELMNmMSPN84KjmFBrpFi5zG5xgLvtkLyp7bZETgQX2ne9C+1EJS5+8mQEHgc/pvs3wpG1I
5UROwui3y3R3bCv5XS/9A+p47O/pLawlvQh2d2glcfGoGh5jdbdJhb+1EXk+wgMyROhWabfOtG+c
RluRrIfBflYVD7HrvVR+0JJLKDQjRpY/w9FtKcwdpjoDuK1DL4NqaNtnKR/l9+Sqpd23paqfIKU8
zDWEiYZ48iWWG1CGu6mxLFeFUZTh2CV8vRy4RrYrM5nYlR0z2sMQxqckqx2Klvk48qYy7IGqbPYd
eyQSL7T8w+fBU59Tz0Eoqx+nrpoOaTtba1rIE1v0C7Tbcmv304ZWi5Us8JPrBuBn3gbzsoje2vnT
CIyycOjaHbyzWlxnZRx81W+Wwc1WWosyoNFZyg/MM4FNxnH0t0R43Ng7rxaxHHyjodtkPyzB/XEV
N7SDncEsa6nDHkRgLaJ0PCa+oI6zy89lVwVPKjZ4kL6DH4pOmKPL5dkX9iPuBR2MdGGtZWtu8SMg
Vw5vXSjDlWOs3dybGVp56lZEyTdf6Eu7WKfMd9+g/ZE98taJAiNr/3szYBdk+jChEJ2Tx1EEa63K
lVDQaRY9fMezOluRYPcp0UYCJca6G1UZq8zCDTlfGP+QURPE67IEC0jEQtmiIkjy6rFJ2KDhxTTu
tKpxF35X9IN1NKjp63CKMWEYB5ryQc/NnTxDIzVkRRiYtd6U7VQ266TzwlG7p7oQp8Z0VsQIFRRi
Wd5vQXFiPD96bIIX4WlO6Fn3Z6Q02J+1Vk7GukvgQ5rr6NFnVyOnvhWNQx4GXvp+OFGRdzfDdot2
W5CRO28bIxublRQJUJtLjzCzfVh9ulV2ILQVltwjJ6rBHHpjNs89BF6mWJOXdeeIuHAQi/AHCP0/
jdfvvlWXt+Jb+7/uH/yF4oJ9Lun+989/bH/9M3HFd/T7pz9sfkDeT/23Zr5+a7Gq/w2Hvv/N/9v/
+A/g/O+QeFSITBj/a67rpcIW+99Wb02Vp+XPcPyvP/ob29UhfgweEqecg08RQu9/wvG+/QvWGSD0
JgA3jZMEc/9HaBlx0xTLiKuZY0rcjVx+6h9wvJS/8FcRJoPT/0p7/e/A8agjfkbjWRE2zGosSODi
YvHt3Tkjv5v9e9mkiyYnQ37qEF3it41hxBrjYo3D0NBgh9kNNS7NzKUTam72BPtQWmXAybS0PfXW
yDrfymUqsk3lYM6+N8i2ogclC6AwsSyX7dcCW4jzHCU4t1SduOCEYx86m3MynC2lX6mt5WEgVohg
ZpUbuOnnTJRQVfjnIImqVwIh69faXDB2AoBKce4uhX/GNN1+Y6WLSwGzB1ltGbsuk1zLr3dWTnoj
HmHG/UdkVFCwqxR/X90FL71kfhyOtUliCEDrdEXAELwUqZiuDbv2IcqK4gepxMPY1yqZuVaEUfhs
o177tfVNAd5TZDETP9iMgvDNdEWpDJOG5qkHCgv4GjVgpAsNJW72ppDiBnHMefMs+DZVZfR7OSTy
eRmZ7payavatNKs25O0Wl9hi/hfWXhy9KPfOXtU6rVuqTAXuXGNM9lU18CzD0q6sW4pU61VG2hzC
STb8NRuL01OBGfLbHPNzkGW5AEeMXO1IN/doythivpdU7EvSTeBckPR2beyM3+lnsn7NFXFo5GI7
C67loykvrk1TUSZecpGZoc7+EAmqi5TmlLSCA2m/2aEEaYlCfEy5n9QPCle7qTDcNeuaf/PrAyVi
MeNAS6PgxSLCLiccrJ8eeaRt+xGO5TydxzqaxXrKqD7WZks58WRAeKzDivMK/vRAtgbkI5hmKyfv
uS/EK3CNCbFgEXJn23BwUvViLLg6SFz7OisS80NDFo7c5sViUEWPy/ck6rkT5lAGL7hcXruldbYz
Ck17xXyFcYXVqidvsAM7pPuCbSEK61aiYX+lKr+v2oKFntFURtu5jvmkJbL4p0d2UMqVsIg6U06P
iUsHH3rdwGqwmpYnG8jOk5tgdiTnuOjth9zzOkCiuGXxGVaerCMGtDX0iLr7itPJGG/MrhYXIsV4
Cb1g4gFXNSM1msS4BSGBEzAfS0qbdJUFlGMb5G2sN8Frea5qXGcQqUfyYKjBkuBnkutOlz7FOi+L
JhAskCjgs4IVE4m+/TrhsR5vysXg2Q33dTIHU/3a3x8RCk95KJy+fvVFy4d12kx3kJSCjQdZC59x
4oprW9SvVGfRy48lnBoe95eUlFN1f9nVfZFG7jDBBOi5JT+SqyZE+hDcLChfiSqBD/DKecHYihvX
VbWUqzr3WTC9Z1anvLxn+/x4Jfq8Tnd0uNw8YCseNoaph1Sk+hW4ECKyUxMm4/auuNljFb0YyhyY
GbQqqUKlISbkjcfLCRcZzjAh1TRizjiQnFvwdczUprjCjzDU2IHzPpgmCwyOFxT0DIgOPMAWtwEx
wG6GsY7Xv2XKg5dUwXms8uC8aFr8EGkbn1ABe4PN4LlNI+eRSPuo9BB7awP5PfspWr61mdfe3sVf
fMvoJTg7ejLWckwYRUxVxveV0HfH7dLOfbIBF+YNsxoC0cJFsmMVVjUm17md6odY9cEmnUkxIWN2
ut51Xwe/zAwmUCLncyga7EOWwYFUHVuGaUbiRmxLzx1kjHOtWegM1pJMv2ZmpGHKtDGKg8S6eZI1
72b5GG3Ju26W922Ai/F+6tki5cIXJiaDFYWtOw+KyFpxi0yKwmNcecwCZVnkybGIFG2BuaS7HgHB
smLS1+ARFBFBQVhRs0Hay5qKfJsFPrsLj7Vpc+fNRCNKO1cKcdNwum6MaMZ5nTUArWFBVnO2FeSz
baqSVToCJrph4WpxSatA3IpCcD2qgGhNqt195YArVPPRVg0fb8VR+zXOsOpLIcA/MisR0BhYeyAt
Qp0YOzX7XnimhgrKmrctmx8yO74zuMJ9/cPJEpc+HYIXzAVwNUdiwq8YRqG7p0E72bQ105b9rWlx
78wTeV+Pwdz6q1r7wYshFx7kr1uaakVKyLk3spRQNTX9QfmtNoDU7bHZ1MIQj7bL24VVZqCQfnB7
yTDb/njjisG3X8aymyAfaqdJtj921qpKEOGPxK6/CIKByxciXebsgzNK9gli2LlQgQHuzk465y3I
YfqrXhdPIkES4cfl1zKZgkODCziLX5v3wzmK2YFJYhSXcXHYyHLqh54cS5wcEX8kpUjeWXMy79l+
EGesRUx9noQxiBQSgWoJTkXZdugivGgiD6VNg/xpUfk3Zaa5h8FaZ8QvHKWYqndOwSMi0g3qWz+x
1/JOUlCzxVQwKi1HraRu3K9VWbxUsWiOQYTz0xjO/jhRh8jmZtn+oQruBxGjm/yWItIG4e/9R1GS
o8K7O8gtuQEMuoToLo4pqxP1Zcw0O06eU4bZOQnv0SfdWRvDqvS5NQNn1eD5b3qKdyDsCzK4x30H
IaNN+poBUNAU0aOZ2NUqCEhh0T1oTau3husFj7U9MI1jagWHyPwwu3ltcE5UhRsdhKgKdlXFG46m
FGKySVh3bdbFGq3pwqwO52zSXrStYPtZxV4IHZNpZtfMo+xMbrPSItjDS5et2dPbORAWAKS9cR6Y
EtY0qLMLlrUPWJaYTdCnkGDnJcGpk/byzp8679iqgGMunTDxJXicYfAonm3cHB4M0y3fpUvmHz0r
YvUKm6Ik8SvET6qGbYTZfqgyrz8BB5oPHr7JMmwJBXvL7Uo9z17xTEy4zs/kJNpPOmP6aHTt6EMe
boKtP8jhezs3ZC36hDS2YwB2yyLbaIYxYCpzw6BFBXtzIJR0njpwe78m6NMm6o5o9VY9+E2i5gfu
l/tVdX65Xfox4hzHtjdOx2c8KSBOpF6D5fj4aYimlZMq73Osp/maOHO5FkCxW5l5aHU6p3lqTW4r
E3l340zF9EX11o3QtigUY9s++GmyPBW46pEe1xfbCoRzFwWDd64D2NKxbm866MFsGpfKaNMWunro
logtCshzBaej3sTUDce+aMTRahtj7xACcciC3j5XEq4IN63cDJl23jNvqejvtL8xGBGAVrgGU+oi
e7S1WiPLOhpLJt5xCMyUfDT7WPq6hxx8/ikGgZQlFGTLaJudfz8h5MyweoqZ6zoZD4zZt/HaRhPt
Jnyyh0U5T4RaWeuuLM1r1ij/XKHzf7YmyzgjaMWG3vBx7AKXa9zP3YAZ4TqCSX3sJiKkVNpVHxXl
O+VdXwzI3woru1lN5O+ZOxkXkxn8ipPXW2e+ve09kGRVZcWBgZb3Bin242ToLIeNmBeroWnarQHh
Ao6PN8JbXLp+RxBSsnL8TK/Y/OP14uQcRHSPh6F0vtYJcmarE+NK1GZ+363EYVaNfCN7t9ZIl9rp
IxXxhuq6oRJMzXI9Z2a26bTt3iLNjsLO36Dgq0QaGqnl7c12kjuGqPO6tWaGzyNzs3PSEzwa1rJn
KsxG4jfcu84xr0yucvKEnLyZqcVB9dSVbAbcV4Uq7HzvLe0Qf2Xzj7eJsvSauLka1H8Ay4/xnm9C
kqWiXUeIHxsTDnx7P+vHFyNrLZ9jL7JcZiUiWYPo0IEkeuO5TfWAz1u6TmU3vjB5yA+LCxrPfCjb
4ny/bKAL80flpVvXys3nMZ7g2ArMcmzjmDr3wo+NlBiULxC74nOsi0sydO2H+9D/VDQ+rNeSkTDV
wPuit8yPDIjdBqFWEHXHTOuZcaBb9+ahyCCkHA1S4C3IAgxYtxjC9XrcKGFQOYFzy+hd1AUj1eyA
AfPkpJX/GumcTT1SJNrMbN+zGUQhgNYid2TKI7JbWTkcmzBuDXMkGNgxe/nqJwWn7p1Zg6KPqFFs
ocfIKU7abPj3WUXJtTadovNZPVbQbJyeGjQh3TOmkm0pRNzB5mxKdZ3PR1Ms03UGFMYuNMAxQY+U
5YRy1b/CHv+l4vxOA/09bZ7WGcIc4zpMAT3a6D/QRPskyqFap2pPVGzerIuqktOHxV769qM9L4tm
yBZQjVSlkwNFQg5Id7+DHP6FROZO8/vjFfgSf0dhY1bGVfyBuD8mcMcXq4v3zhT4YMplG6frPhCR
dRFGm8QUm1G9S2WaxDCpyCna1JCoLnHZiZtv9uJiVxlV5V9f1b+4LfiZScekbP8XXiKl7KMqUTbZ
cwaln544/RF/QOyhIkMU2qUWlU9fLBRHxhDXr3/923/Iu/7wVO52avf/UYJj2vUzoFHOXtaXw8I9
mXNaISX0XHPiaL9QPBC0I7AL5OjLW+ZFxkHcy28siG11GmxdW+9sl4i+hWCfLk723b2DrnVcqu9t
5NDDlJKN9m8u+M8PkRB6FPvwLk3TE39UHQ9BnBoS43moDAM8HsIdiMZOXMSCjDMCwqTIQYU+NrX6
jaHtfNWQJK86oZdPq6m5FqX+Gz+1P3lb4ClEDWRLyM8eFM0fy+53mJDhaGPpqRsYKRiUja7hTtcO
SOqlBeJhVkluH5CCZbVfbZyvDvVAf1GOMLpwGONIXrVtfe/BuLN/favkHwVM9wtDChO4ro/zIXqp
n5+tN5g14Sw62dduTIUaI4jIezRIeK0hL0hlW76vGTHYh7mibF2jjWiz42Bbw7W3ByJxEwSuL6Y5
0y3bP+pi0dHGGilNFN49lO9pjDI1j6p7DX/HesrA5M02wKQpTb1mYuIAMPj116Y0Lcbp2i93FKCc
6+maRClDnEGR2nmv497g3bO2FkRVpD16+Pr+zXOy/uj3we3Ap5uIBHAD+x7w9PPtSISh03nwjJ1M
HPZAq1rK5Oj391annLh6Nv7gDEVqMN6X1gJ4MhUJlzWn/fJ+ClzuViwF3YmzIJ9Suc3/5Wbxz4k5
UwxjkZZSWgjxwpHh0nTuxz5O91UMAkZ2NbShTcwAnOicgt/uWBngjZvNAyuEhuDrj2f/P40xP6Rf
mqqtvnc/o8o/kOL/hJz/n0Ki0Rj97jX5Eyf88m38t/0baE2SNt9+4oXLHz/5GxBt/gKkzWtjm64F
CDx+a7v/+Hfc1H5x7sA03jmMqe/k8H+C0LbzC/bvOG4GbAKInCSA+G+ccOsXArz56xDNf1hmy/8O
CP0niRvCNokqETkVV/Enm2ImT1PMcHLZZyVzNrkg3UTU//K7m/Ivzso/4twwdQNse7lsh+/5Jy++
rhqMOggww+kzixh7r13WiTd4K0Kzu81f/6o/iWb5VSC6qCzRNmNLed/wf7d9VgVFt4oJg56GFCVY
nmYny2KuiWgaSkicdnvyfAy0LI5N3vxc/c2v/9PtZNrmYGDhQS7jof0xKgD+n++MrqX3qhxvVuF9
8Mle/+tveN9nf3/GMpvA+uUuszZ5bn9yfG4aY+6BkvQdXb5Njnwh9hpHYguasbnob3/9yzB6//Ov
A07znXs58cOj7OcbKmPq+Anq9Z5NWx/jrEDjVwVGgfYvKrCdsJ/taNSw72PdmQRKwicINdGvDYgn
58W6hXwSelYsgjBRPsGyoxfQh1RDwLQ3z+MqbNtAoWLUombykARhowK4mqqQny017uKh7b6Xts9Z
2HSmRWY7UjFjDvpiDQVQXhAxBGt0DXLdm/P0MquoOaduPMYhhSPJfzZGtTeXluZDOntVGKBnfori
ynnndGV2dSnYw8GGLtTHXXzph1KEcRFE68rvsWI0Hb0d+mU5QLx4YLY+YIpZfLe9/Fql9hdYm09d
A6I/EqR0rM3pUwyCxK9QLondfGaBPGKd1Yve0XAiEizF2mnV+K1JAo06KHmHIauBYUTVbGyr6Ddj
NbqXCSLdKjDc6GjF8sUzRHRUSYogs4Xomw7DNwmx9DaVbbqehVKXJdDxrXOhtPd+tjKDIaZ7vXsd
jNFAtE4ebZQ5JQ9l66yomtGU+ZD4ndh0s80IH3fGF3OOAyIyFXzotPKCm/aoKRLfESuQWjrvH/GS
ZS0isS2npnGf7dIzPiTZ0LwDbuJz/GmybpiQD6e8Sfu9KfF4SpumK3iqTnKKCt08VLnpbKxS43M6
Qj/VhVaPusKEQzFS2gAYWdshzc0XqmIfZqCemI2nVv/apyZsdhJTUQISF3NDMLtsAKdEGIGvrhON
pRU4sggOi9FE5yhKmqd6KZvH/8PemSznbaRZ9F16DweQSCCBRW+AfyYpjhIlbRCUKGGe53z6PpCl
sKyussN7r8oRKpI/QSDxDfeeW3b9dYTX4gNJE8OTRCp3Yitt3ViL7ZLUxL3Abjc9jEO1HKvS/pDk
nYOkIkXSlEFkOeH39e9NN86Oht10W4x6fTfStIp+XG/ipW5ol5vCPHQze7TadQhxTl3qRotO7Nj5
crxKN05ApBP3LlX9IYrsugyigTbXt+KP2ZgnSI+dZ0DHF1lGLfv5+b5ZcwjjfRxg1zOOEh3e1dAj
DkgT3uzTGM/3RkQmrLBT4HRmU5xWdE5nh/HX1QqGqQjM2Klvy5WoBe5o4XoB2ajmPZuq9aU3ajMs
eGiuCd02robYFUd7YdTgFgZ80AxG5yGPWrVrzZafFudbQrVvEDxbiwWvAiOuy2J40QcPax2j4xiE
XhTNV0uWZaEilzl0afSO/UR6cpmXZDVLE3NFNC5h6eR+YJMdfNEi2SJ4be8QZa7/DtJzhkomJYJT
JS92ZD/7lka1PwzmAwBx8yQm+yNWlWtq9PiRXlQyx+BKo7q6DLIewynKuwA3DBCVmXjv1rOQGuvs
xuhb5FNtVOyqVr+msYevg5jDNfCieDpHRjwCIDPvUZsdsBPHJ5KLsqDGsHvUOd8WRGH7trMMVXI8
zQaYrY7caFHbL/1EgFKdNO6+Xw5tE9tPjtP4G4yhq86Vmvq70WjsF85t70yRaqNOTIpwmRKxTxJk
Jmg1Gv0mKvJBoMhq1re15RXXHEj6bC3+HDTC+dDVMI0FLvpg9qI6LJoI4YmZXMceSDReALhITHy0
cUxDVJRW9aYvvXMxibfb7i0QkYWeyOsukhRy3B1GtItyw7uJoxwALBNt3fZ7NbLCHU3ZfMpGe7pt
JGKOgF7Z23EkuLfpmi3XvmsVZ7cktdH2COyFRzy/h2VkB1RD/GTTzxjfFC4PEIq1JfvqZ0bxbM2t
+RQpLe9tnbk7u/Ct0CrKrA/YPTOGKJJh71bcX9biLq9lucJwwX3JZa7CvFPZOycBnrv6KYrGluDc
0JKLDDMiRPaF1xbHUSt5Xdjp3KKQ1NNt2XvGCWEgLKZWfQabHw/B1uvu2sjJkNt4CtD2Yh0rNJr7
TkigBNOanuDkIk5y/YSYpJp9Gdz/kzM4zq2bEqaQGHH80XP2ZZyux2JNuPxTsry1OLl2QvregYtU
PNlebIXoBGhxjSEXj7J19+5cls/DmsuPy+Qmb9zO1c99Ze9qxEtM7pquezNazYDiFpDzgA3sBG6p
C3CwGTtenl8rRlNB1Hb5wWVhcub9OJ+nzObMaBf4TldIcVZBQGDRj7/XFf8W+X8nN7GopX+qiv5f
kX9TVyBX/6wz+f1rvpf3lilBpFGMUZQhKPEdWufvJT4A+99MyK6UasCgiaCjHv2uM5H+b6Cv+CdO
YXTYhK/+UeKjTtlabUW8AFwToIr/qMTfmoWfS0ac1PQSSGM2hA2EiV8ZEw1yPBFFa3KrkLVaKLRK
qp45EU7otDSNJwUusUJfFycsR1Kb1aYAecAsOHntIwxHgYpLeC2embTLOdEt0roaPvBnzTxwX1Yp
kbGybNbrGjFt8Zxq2V7XvTZfMzte/MAaSbcMmCiodYcdYrKPBHHXb9UwKKyTrQ8/Bu17N990jVvt
ieTBPMY9zrt4dfObxvJlaI0RdJPVuDbHFf5b13gxqrNKk0q+dh+nUYCWQah5ltNiruEKz/YLUxY0
X9+QmL4XcfpG89bhSDdJb2DSzuexGNXJ6MbuPNVlhmIrrRYWicZRsJHY1cJ/nisG1YlRDOjE43r7
VJhBnhenb0L26RhVaMsT30qJlsWRYVkoOq0IAEFdZKjKld2BbbJglDEcKLo+5CBGgsZrEOk0pfpo
IYJMHdajur/rmzlzr2ZLOZ+5IjDUqImj7om4Dn0eOtkb8kp18ZLvIYkGjZzdpTl2HvOWPTuE+aYm
kj7dxuHFSnBFdaAyLSeLujRJBvtEFEdSU1D1eTON6kqjSEbcH1o9apxlPyf5CC0gABC6gCC3SrxV
FHIzURPugDCbxKb8zPJDqWbHy0l+mFBWPfSs0+9QwxvLq1+pZjv8rf4rCE8x45Wn2CytR3aC1sEd
UsXcqlGRet/MBY4OBiPT9RzngBdw53ChujwCTVqM2TlFKmyTBZnfs6zr9iaryC1zfb7tCbkKzDTN
uC3RSu9WBiOhISyI0VnOmiw29UGnaX7M6+TWShkIDe4oU1YBhaDA7pIKosIAlcsblAylzdUOReZF
J7PiTQpGdHXOkIG7g0bo81KLpvgshtayD37eu0ibW8SKgxd5KPoHlh8kQfnWpWdFEEgbXlpW4iQ5
yWr8yPB1GgBeSOduC+tw8Fk1MZx5aV7FmSwP+JqN42RLfLH8uJvCtZujpa3lvkKxsUnjvexWWpFC
VejNY0AGNA0slrSZmR8wBi93q/M0m86bdIgyRPlDIa9dL9OXKtJIQzOTVdiYvPAZsduaeKxYtb5x
k37Md6N0r1kJ9UDp8+gjA3yf4AI9HVE5y33e5tWF/XvzNuv1G6dSzv12Z99GVm/ulGkzBG0tFlko
RRMG76GHPeHgpQjBuQKN+bUmhuW2dvL4fdykMKlaSWLBlBenvkDDudKRHbNsyo9RCrgIl1f/Kmby
GRq38x9jNERAuzxx7eUKLZB5WwGBQFUUudeMyJ1rnG7GKcv6+dlpkV+wCl1mnGi2+FA6SC8C8Ij1
prMy7QcXDsneqnr7q6FYbIQDV+OQ62w4j0PxmTmIj4U76ilzxrX1N9qLfGzsmXUnXrv6s/TW+Akv
C0iPmn7gE+aM9FjR/vI9GuNceIUIYXugFRingg0bnq1NxEfqYJbto2mT41Wxd1oc5ihzUyHPH11U
3CyWLW70cUivLD+BCpFsQlmuz1O/tPfc1viZxHrto0IJnTzyT4ZKGi/w7FZdvM5IgYvIwntd3Cq5
8wsvPU1RXb2ybPN3hbkKeD8lEVT7tZas9EzrHLnZw8Cy6bzaONly7u5Hy9gmINa8CkxwdhTOA9Jg
M7PY+DqYhZVq0zdZAU6oHk37Y13EWzM+wgaYLWA1C1lXHxxvptW2Gv1QLxirpOrmZzwiFV1/Vt+I
oiE1cFLLZ2OpsCwKe/ga4zsIc4eOrS6S/riwzXkv8Obeaiv1b6fF03dr5dQHq4iHO4HO/IrACfNR
sbHKw54qqD3UdR/v+7o1XzwkIjtJduhDJo16QF2V4ObPRiOQ1hB/RXxunqqpUh9sAMIUvtxapFHO
RZgM6+QGyA3mXVVz8nv0vYHyJvdGtDoOeSLtg2Sm/TaGMXnlzU5yqf2uuWst9OfIriaurJ+sX9gg
Do8EgrRZ2IoooSRf2dwmFnYcpk6IwKxJnHW3rmMoRfulLDHUWktN5+OI+gaHawa8re2udVXP94Uy
9nCI/Zt2IjwowAmcRGda+/wmMa12Z4k2+1j0E6JBVFw3qvFwis9WT6ntJv6D9BdcGd6wnOslSmVQ
R3IOpyQ1b7upyZ9Lv26f6Ra6O9wJ0bsmj9KrcWnxvM6efmt1ct2TbZUdV9TK+whRV4AAoWdYwm9b
h8sgzOFcFXrCBqzGt1BjzRUhRF/tjBT3gutAM2zNxLxjJoHqXtGkXCrwhgOt3LxeOdla5mHaITHw
amlzHYf5vVywGTgTHmg8vwAB6M30xUot97Pg+xthHVXpXTwkdJGZ6T+v2sF4KzUveq8yR/qDuGfj
SgrmtUqbhg5jwrnPlIXmOI68VO4QpFyPbd0d+gYU0e/j/n+L478rjm2GNX9VHL/5Mr28/rk2/v1L
ftTGFrWxLeH6mgx+2QgyzvxRGwvWgz+KYSDDprKV4nzeGOpbRsgP0bXDP8EWZz5N+czUyf0nxbAl
ftljUQnDjXAFABTbJ7vr1xFtMshlApBv36ioV+/WWTqckhbqP0cX5m5NYCQxiqkvruW3Fn6YFsuq
xkk7owU4jqJvrwELj+K9k+gcclPRJVctrmCYE00LH2Lk4XpnT3J6P+SMP4d41UHSrGIJ/cmb4qAh
D3q3uEk1Hcd5tR4Q2CCznqLpFq0O2hnPqLb3vu5gkbVRNx9SFo8n1WUIh7t8GgPVrMOR9VBTB02S
LTnAv5oT2lgRwMp1VaTOLd4cnxiT6xFZb2bS4hf9GmCoyl9bZbS3aexMJYaTcrmNEHCguwR5Yu7K
pgQNRaB4rs712klKKgvu2xHfC/9q9ziGL6MXr3dt4rTrOTYqXNZ08Itx8fiAKEojbeAsb8vSvkcL
Xt/7MosfdJYTloeSq8kwJu3mpOShjvp6OmbsDk+lX7BFzWTN2jhdhuUO+kfOSSO7ZWhu7Fy8HZpm
ULrZzZFZD+0pspx0PJYR41F19Jxqy7HugC7DPM3KrjLDvAI5aitdkq3D0W+cZW/V0JuauMUknuEH
qKp8nwKYLJZnQkhkbz9MeQWamR4KmIKTRtMCeRc9cgQtP+38oKmxlB4aj8YDSRTb2xgqQZKhwLBW
48Db2Orn0OkHm2qf0kANyNiMKdnF6GSJHTf72YquRIeXbNfKftpuHHYuqFkcfTAWiKl4uaBOT5dh
GMeG0O61zAYbLEzfI58ug3wWc2+9j2lkhP6wpGTCdK/DjOQap0qudRHdf3uK/z3w/vbAs7ad0V+Y
T1j53XxZ0s/1n/d9377sx6Fn2pxZQICQ5BAt+6dDz6Ttd5gGSLY4JDBsx88P44nii1jqwXrdjigO
zT/OQAu7ChtnBCdAD4FOef/kDHR+2VKZW5YQOzKy0DlNkQ7/ItNo6Rb1jLDiusO5tL5IupUekZsa
4JEi1qmoWGbG2isBaXVfGucaibzThWwlwVTOwH5co19fOzseMZuZjRMu2Trpq6Vy1RdmdmqXugip
dIu6NIaDg2y+wCjwiCpGeyNC9xEUQ/9aqKpjYL0C+nH23MNZggU4NQZ1P9XjBHmqcQewNI92Bb0o
dOdpMD8U9gyIexv44i3rMEdCtks9Yw4XTzFwnugH0PLFGkVYcg0cs228x0QovbF+TM82mflhx2M5
lSHs6J96jyd+72XEFZjPaasGPR6rZvJEGfZmCSYLhXuOYc9sPydo/Q6qbdY7RxSVCvU6Z3wpCZr6
Y1OZKv0d4fjvA/g3DyBzqu2Z+O8P4OllfknTnx++71/y4+Fz5G84ojY7lfODtPaj4nDN3wSLTKBt
39JqtkHZ94dPCPhs6H/wdSkJR2wbCX4vQCzvNx/NMSYPG4kQ//KPpnHOnyVaDIdxlkkfyxcbAE9K
j/Lq5w216aLqhoAmHlHqwEZodMm7ebL4nKEu0Iw0Mu7uk7ToPjcqF09JkhsPwm/XYyWNtWEq5zkh
E223YpVXzDvD5SUH5AUx7dR86E2T7+MaMe8hmNgpbtylIVS7wQBT0/cfcAMIJO7Ig4RhbtI80uxT
sMLHWqw5r2o25z50ILoaY/yCL4VHJZGzvDWWNLldqiIlzrwf5hc/btYXZSdruosTLluYxNO2os07
6E2F2V6Y1jWfRpFkL6C91juDaOKd8LL1A9ZvjhJcPCq0kZ9+oY4Hm8Rb+BwLc2MduffWYKRpUBe9
eDvai87/ZoP+TQTwxwr9258AFRMLdKavhIx627z0J5FAqZE2G1HvPurO9s+OPZKRIxaESX69bNhy
zGoqwKHs39WqEdcVmU7YYFyvdsI0N6cjvBOSG5RTn309TpDNneSNGGX9ymlhIEh3+odkNZY9OmjQ
uM4AMt9LhuJdUUTeMU4ISBp7u771vO7tUMDHdpr5GnKVeBKJOCIZf81at/3000PyHzQYm3DlpyEw
vzSCiO0GRuWxYXN/FSw15HvEkdlUjwDYog8sv5Y7Imyt97CJlztDEdUyZnZ3LrN52Mukwp5dGoM+
9Oywb5aRCIImt7gMvjMvt2isSWiobecxWvmvFh/lF3LxLLjUYr5NECNfIxxY7hwvehfLRRz9NC3A
6s9TiK/FPKXVzCbLQIiRT7a723RdHLIl97Q9mNOVqe3Xyh2v505YpwEQ72n1sHWwS4Tauqz5fgHd
ujcbPzk4KR5G4s/B7syf06S2AW/Y8+emw4Sl1qIDKWhNzBCTCZksG5cU2RgPZf5GoUnhOcrTU26/
mszviGCMsK3t8kw7V57Es5SCrofg+i3iAdfB0WTeHYqUiAxVVQCcKv5KASK27AZMS3u9Mhx6XoET
ffEKfJ2IYztefUg52tOiFbvzBBUFdXt6VbDevIkSJqheZU03Tt7yywl7xE7WJjo7gWzI/FDLWDwY
6bDc9oPFBRVpjJcMFc3sbM+mkSOUn+b+WSZ9+8lHFggyovNDE4PX30Sr/XJmObRehG3hMIH36PO3
9Lee6qcHRgCIZW2qjIdkMCGW+GN1NKy+eEeECkQFNRL442/3TlfrzzMYjrAf+mYN5bwmryjXiXhw
RXRBINI+q1bCiEkK89h6zfvFlyxtR7cEV8J3QVKAHSSb7OpY8Le/rlnnByaurX3vEAe8gmp/YGya
S+Yl/KorHusbIFJpyHG1HibpiO1ABdINi2Kw9s5giH1qjnDOsoWSvstrff/ttm2yFi5K6q43XetY
11ZTR1/rwjPfe0bZP2+z7GcUtO2btE87ABFNgmDWtqv0U2XmR4YMuOzHBZAREQeje0RxnKt97iXe
rWe29fo3oqKtL/7p0d0uP0Z7T9FBIx9D27Q92j9d/rkFVhvrLnoQrEiM3UD/HKxdazxm2uc3sDJB
EETbG0/Zmk5J4AB9a27AzyXE8WKKWjG8LFwZgcn9gtG+eWHs2a2sFOcmDhuriz7QtPLLmOAHzm1K
9Ohfnz3/6RdgtMfH2mTBSmwLsp9/gQr6ZmclsXoosJrtl4zQD1bnsGPciOVnX3HORJtSHDc3R0yV
OMbe9armxYxM58qa3egrzx6sFeIwXgB9WNfuDH08ERC1D23hRU+FatlIJ1iCveCvP/u39/EfL4tv
F18qiaBLILliOvHLZ5/LLu20nJ2HmtgOmBJ9H33lbsZ90fVd8c7Sqb5h37PcFmqqjkO5KZVEVbln
r0mnC8kJOGZ90ZH9u7HmVGsg1in9oz/LAUkQkOpb0qHTayX4/WeaYREM/dx/nXhN8CdKwQdE83jG
4OeRO4IB4m6Uc14d0c/BYaF/DBZBWgFtY/SMtiI7GZ7hXWD7sfEir+1Q9Aj6myJZPnRupY/dPEXn
dMWirSsFaW8QYvlixT3nlQD+BoShEdZe2w1+gzr/ZAH1xERZtYGdN825kCQkV2y2ztQEjBu2Ry/y
jfi1i4xk2ruwS+/GKo8ueunEQyHwUO7KDIyWL9rk1Wx6fcjMJPrAnTd9kQUByiuf/lxg/7mMaaVv
pKm5fJLQggciexlmizJ/MpstxJrtevpeldlnZDT1GWvWcqYr7qGTgNaBtSSuk2Xud44qljeZpXmX
/PWNQJH462NIggM1g8W69ls5+EvZwFldjhhS24eksPCnrSYPWPDtbC7mpT2uUZuE3y3JOokPlGLN
i8ss+l5bnEn7uARcaqCvSYqsuLRAzrHRlWaah5ORpSVyjuowtHBqybdT5idCcou3HP/DJzHL6cuY
KmnsiOwo1a7HGsZagnLsZsLAty+VyZRpkZVdBIVN+tOhsKKNfqtLvCOxsexW3ajzIoFHASuDn5Sw
UGN/hqG4dY17mwdr3vXEWr1ipOSIzCs8MTWp74ul+6PkqWW1mG4l5/Z3beZ0eMave4I3Na27RaR6
79vrs9U01c6uPTvg8xDP1Gc8ELhiuVkzAZSVFbj6bCtZ7rppyi9kcponDcfGYPmDRk63IqmJoQJB
GTaoo97xHkjf9fCkioA5vu0FdVpmzz07HBy+eevG6DSUibqI/Q0RsEmTvBooMx+Mad4KnG6pL6a3
8KoiLmjX6QkttZ2MZEAuOF74dVkNBQWCZhNPXMd/RwO2sQC1h46AsPdS7hCyV09xPPTnyJS8dbSV
2Z8SOyIpIbbcJr8yBqKqWtvHFEZIrrHXDHw+kULMuTq0wLxXTnZMZ5W2rmNnzi8sqnIviGckJ/Dd
kjp0WNq/x0iSkiVsjvo+q/wIcxMM5IeO2vI00I3HiGO0/irc3Dt7ozb2ALgwtXhuZOGp7/S8l9Pk
h17vpoifOpaHLDh4jNKWKhN+ClNIH7B84DSRia9JF1+VwoNft9gFHMpWVlW5YkEKr+uNUmVyh3B1
DnkZ+FwZf9X33x6kfzvbv+lsUYhsJqH/3tm++cY12b3kv0LGf//C7/2tD5+EFnlzYGzMcLGNyn/0
t5sQBSUJkQ9UCX8WlH9Tm7gMflxTmDS5P6lNnN987kIGT6bAyYRv558Ml+S3GOE/Xpib+FnaykVd
K5gxEXnDOO3nlz2dSNO7ixLX2nRkrI9pH68DilphBuXa3xiDBFxQMgoOJs/JiLwiveEDLAYaWZFa
p35qjGvGw+N+bY3yQLhsjbpQ9zd1TEpPZ48Xr53VTha+e1WPlfHYVggyQJAgaUy9TR1Ruo9Emyxv
M5D7pPOBrD1aTVsHZc9W2UW5gCGYlBoB4KOCiBnZR6rBKORzsyBzYlD7yY1rl92FQExSttroftbt
7UKqxebY2aQu1qntARPTUuWhKtyLJdHYjWQNJHH7OiLM3o1Z04cEs2RhZ1frTdTF8X4eGFFPJqMk
WJ1t0Rt7jHqkufFuPzo1NMsqFkeG6tWzv07Zvm/ydAdbfV8s3W2Xr3KP92d46cQAWUOVGNudBmle
6fLzS9bLXCmJw9TzT2s/pg8wlOtdaRE82+TCD+d63VbSzXRCwXDbrb4ZtgBN92ULjGmk/A+k2dis
BR0bWggL+bkcl2CiCb/g7b1JLJyEuBwffLOc90Okjj7vFpQoKFwLgTQGETO6itgEuGXi6slQxiXr
O2eY1nBCpLBnO0xEHZtnklnGOOwcw0XQN34qe3bKy4J+urLSq4ZEidBGlVJrdTDSojmAm652Y445
N8XKFbSOe/KhFQ/IXUMvF0iidWS8I1a5DjAoO6yKWZzbIwgxIWFlGlO5ngWeuCdAo/rcW9604/Rr
D2gCnYOA6LTrF1PuKiY2gePFx2V0kagg0tn7VvaxWRp51YJfw6IOdNGx293YdzOs1/iY2KOihsYE
WxTGPs/ap7p333mLvs7ErIIYacHBqDBJW6ZOjqopX7STfczaQR6zOurgqMwVNNTMuLTC/yJhgOyG
yXd23BObZDFwZ24Jr4vv/TpDfBqTp4SVFnJ5PGCet3Qo+8IMrME5tyKzPq5SWygo+ytGGJ/0KhcS
6rxmn6XMcZ2KdlZrkG/oYWh8qqzdqbiRp0Qjl5B0oiEsjHaXW917ox+Q1qsl2rESph6s1/aIRFXu
a7I7Dy4rlgOI6rcdNpGbykzKg+19iv3evCyxakOHBuWJgGEw16ObyB1lQ/pQTuDBq941UW4k67FB
kPNkVrD5LOUzdMJ3sOMNd9MPXXFAzzPv2a67B42NducIU+2rhRfdwMDqLmWszDouL/d4p5INuS6A
f9lId1Xmni1M0YQOeNMJ/s95cCZxhdGV7BXm129H5JWH0WOEIDDLh27szxBfyf8wHQI7eicz3xJq
YAaDYbk8ua0+ECGuiOxAs4UcoXrMoRHfEd5iXiwqdCfAKUfyz0xGPBkJoM+XgdQAYID53l77/MBH
Ha8VFgX+jwY5ImlxhIr3BpTApxRpaJhVeIunVrFQwiS2U5rr2cDFOSnqQ1R45tclSsgRnwlobyYN
AMAdHoGvnXFYuhdPK+rkznlwo6zdz1AVQAIuJATOhbuTEtK8aP3PaF4eUsYMsGaIRIUkb2apdVxT
40sp9XooOpQ6g7pmKDIEvaqOs7tubveqgsBudCES+ma3Roh1E0X5Zcn0pa0RhsQeTBJE4Se11VQF
CWAIlcchtExv3Yu0FruuQm9mxm53swp1GEvx4rc2q7U0s6E298yNRBKHpfLRQBgoia0McUj7ZepZ
Eyq9RqAVM6TTBQIvRFf5ISvEtM/Xpg/WIWcT6JfeKYHTWBfio+v211ksYds7yztv7hGzoFwLSZJx
z6OZVk++Pz0XrFJ3TaO+uMmMUiLCUDHHxZOwxislh+5N44lLWuPZcOq6gBJEEJrZ3RVJVO0iO/HC
qG2/dh1c3dSHy+3osT5KOSIwc9Zs385Dcb1CaD3KpfOQw6DgKfC09Hby0ScB+4ng11NdVNaVdpH9
TmJtD4NXQAzw+ImV1k/sGtM7qOqghXkJLUa0sPJDqplbcXHoaDwDs3QeN7bSzh3a9Gpt+3PctU2A
nJLoSjApAcJqc8f22v1ABPX7ORrHk1qBo44CWFNcJIdRDIT4VItxAEKEVb+c/NuhmO4IlYUszFCM
Dw5Dve2jcHCQe5bRQw39lcV3eljalDxTTCZnKzGeRx8gZIv0z0YAxlk4jmdv0h1nTUrIbRS5J87f
9AKbF/+OwSk3e1Cixs4rySkT6D+17Rxi4AXwDhs7XGRjHWOVPc9T6mDj8J7Wob/q83YjpsdfbaNR
l6Iqog1coAPZuNbBqZW3t2RpXrwGOFMNHRnxWx0dOgz8O6ip2q4+Fbgsh7cSpRwWERSMrV+dFghR
skHi0nr1/G7A9QubnHFrnxVBy91XelCTO38GCZXAzeEhw9Dk9PapFXWKpFJtk6y39ogbGeXJuna9
F++dvub0JhaNNiXNiR+JnAdblsrtPtSA0HV16eypV36Y1bRATlCR12QkBVxkZuHdv4ujL9/gg39X
XjNhYnD238vr2yT988729y/4XlZ75m8Obn6T6lg5m4ab7v57WQ0s0GN2hU2cdeB3DQvrmCH53/+R
1m/g+wSOdwtNCbtUpkM/dCveb6D9TDZNtkBzwtz9n5TV1rYW+qOqJiaXLDeP6R8OBgyA/0/DHc1G
PCWV45yROJNKLTKdM4dooosj5cQmxWFsyaj+QAWlD9a8MOkrwPPyYl7eOhUUP+lm/TNCzv45XtiD
/nQl/8N24c9LrW+fTrC5cviAtDkkGf655vdHr4us2ZfnbJL1i5MwB0IgVm1JIDSizDrWo9+Y23Sp
po3+658NbOGXa+NtwnZc2HRF2Eu/wRx/7jgQRcAxHNP2HMXR+7KNgEXNY+rf5H5Xuzu3cdQ1FseK
TJ/VVVeL9In0Aeb3cdGVflVjD/em0at9iQt0Prk7Fseh6MZ837W1e6+ootaQfA7nHM3lwKzYbg7U
ykwDwKozWC45p+XUl7eJWM0mVBbHhOmB8gjQc6sdGcwltqOR0Q/bDZeaOnPFB8R52IjgowV41Osr
1Uu9h3c5PiSQecHeyAoC2mB7+QFRop+EfpRAYkql+WxgANojlH0aCWQjy1y3vIOV21TQu6E9GCQb
TEFX29NpxTsf5oa2gwzMC1tzNU/kGJHjGjZJBQFeLOv7KvOINjfQM187c0bR163DswcnGAufWYCI
wb+0TEgYPeApdr4ewNi7x8UnEtmQAp8Sluf2YWPy3Js9HOkd0Wfs6WvTBb7BVolAl8Xfz6PdpYfJ
XjyEhDxKDwv+sQUhcOsy3AGL9WSNdQJnVDHr9D2/gBIrquFhYdtCwLQ9oxpO2VAcYIxFXlBFA8zE
wHGBde3pMTd8d2dSmMQpqXw5qBUiFzUw9wYe8ok6UBiQ6uGszI7zXhFsu08ct7rLq2459HGLiHlE
zkU9Rf5UEJsLqegZ6SndMDvAJYVx1MKLX9tEkHdrpgd/mCYGjXgOEZiVD1qskw09byRhLyPy23MG
9ZKooTmRrMNorGiG05qyGzkM8EKg4GYC1Aqv/IVCnu716A2ZhfLVWy5sK6N3drYhX+aEl1ChnOSL
nM3p1iJkwAnSSpVfwBJsuHBN3Cq2UoKQ8BO2JFVM2rGJnCYeZMez95jERma/gZo8Ok1A3JQ7P5K6
kS5N0KqqnsIIV2AcZkuE59Vrhvy1ypjnesHQZUdh1vMr7LpyyzxJ0GsGDboI8wZzQpe+YNQsyNKo
ABbc9j0BpXrU9hn5dTa9d5c0BnyA4vWFGKVhZD48Lh1PRWsMn6tozAqQ5wOTUlJnCd4bgF8b+xpT
6s20WtWK7kKxuRkn+CWPq12v6wkzKGIPI6qY8NdVV8Y7hnVx8xFaI/oR/IxM5SE8VkC35pyJIqNh
XgVDdd0lc9rsWmrjl76GlWEByOBWX8z6DCQxf8BtsR2GwNTQ26XVbaZHxR63ZjVkCJ+fxoA/uqxJ
5Dx2kbZmgFl9tIEsZP88pG4m8YxMfHoaH31qa1LL0npmBx859Yd5EjAvfGeCC0Umqe3te6hhRjCa
y/jJzKgkCZnoHPMNYdLAcxq2py8Q+Gj/gMDpw7ejnCkA10liR9mTXsk5mhvD9GZJhX7HVN9I6zCf
bVYrxyWCcq13vAms9cUZR8hMFw+KPf+Tx+Sxcx+tFhUyakY9T++rmIiKPjBwfb6M61By63S6v6o7
7b5pe4tPjD27Ng4zevUskEbXsKsTxS3Azom2tE7JBuitbIFpFQNtqWserP9j70y241auLPpFeCvQ
A9NMZE8me1LUBEsd0UYE+u7ra0N6cj27lu3y3J54YFOiSCTixrnn7MOutLxjeYcXHhisdiNav4YT
kbXOAvtJb8ONNEj38UpcRp5dWTknIIPBQHVWA5ebgTDuI9U2/mfgTXDq+eEU4bZMaGkgi+3NYtOn
LIFRY/zxXWNmv6beTBqP8lm9iQOxugcma1eMrf7amt2LPY3eaQBN5h5MIEkPvYcwHhmFEw8H9nQ1
OdIgk5DbNMqP4+bx3uyhpKf2EAPjMmZ1kzLP0+fZTx6jYO9+cwdFt/sA+XlPnekut7SxbGnLnG6c
Eu9jnA4puOeloaWh5mY3sd50SUY35sUmQnQKMe75Gx4g47ngnFn4J4dz5ISUQ2zMWvoWtuqWkGqv
LRDoc+crHB+jPfP2G7y8IeyOVZ06JWc/xbzwW2m3bz/P0f/qsv92cHQ9hr1/MTg2PwAn/tVxxBpw
/ZLfjiNCfiBg6FakGt5G+WQ6+q3IWg5qrR0Eq+eHp9BDrP09Onp/WB66GoiP1a2EHfBvo+M6VfKx
xAPINANjRoT/yejIuPn38xEyq+16jKlgoTinmXD/fjor2n4pxj7EDVTwYgm3qJhIBU1SeHdhXDnO
g+PVTUshqVCIO3HIeLzhLuZti5ikHLvan75Yn4wQ666s6OzH9Jd51kW5KNg9Q3rYAJ0ujnxexXjf
lbX4LkU1ciT7LfnALdvfgGRyb2rYf5qbVTAcdOgkO5nW+VnmyvywEwUsNgQW9dWwwGZO+FXOfuHU
G60T8Dkd1AUSKPEhWfQS2WEp7sCgco5xE+v7DYe4pGS4rBqXj5ZjvPjC+ErlehrJlfGgmNXJQQ3Z
iQKOHIKqk538we0/j+vrlXEOAbRRXvrY+EFBtENP8z3khzgk88YKeGdX/IuZ4paON3ldVlEoUozf
MfPZkLHsSUbva4ZF8aVF28mvLp2FEbxs/44tJkyImQgeJFCKfradn67tZuEUUi4joNY++W7XqYjf
xPwpnjUNV0Ac+s08xckTUnscbtDg6D6a+fZPmRenl2WcgO4xbLkHjzKqU6Lsgebkggi1gItn7n2I
dwyFRDnf5obTNyGz0m4Df6AHuFUgxQ2XNA03/AXHQjH6PZd4h0ciXzJePj41L0uU8zpqfnYDvDM8
1t49/xJ8BhZDwRSFLJQjnBUUWAh8U+RJ0w+/QSRME7rG28yhYDvB2ePiJiAQmfoP9cJ0ymq/SCJr
7vRD4SGwE1giRy5r88Fww3GnBumdY8dHEmoa1/s+klaN0N37K7sGWg/SWcuUq/zMmLSvlVHdENSC
TClUL/zqTKZ7DCpsqlDLUQcABCJicGmq7p2iTvVpoXfA2QgbRKna0ILEsdVTFnkzUgoOnJA5IAhw
iZsOxSCSq7/90Lc0HrL1G/wnWakMIrRBV+lr2Qw+dBBNNG5OQ6JetKGAAUHG9tvIs5JWn1eFN7yB
B5F+l7WPby8v/cKnKHiWxs3gwrqCoDDpa2vQZcgSN714sRq/WDL1qk3Rjmw/KoV0PSVz6iLCWqpB
u/VESqtmaWkoow7lWZ05d8Q8YVN0R9FIf6+SLLvHIoU6nNYDtVy6iSWfbKwAK1h9poIDoz6ohiqG
HHazLFlfRxYtSVud8tuMqmHNjQplNJTFr6vHe0/hINk2kCf922mR47VsXXFogJGy7LCpfxfmahvI
SShFpeFnVwMBbcASH5c4UehiAc5XBuMnK2v1oUOihHYh2ke6MPPlgWvDNzq7FJ8pIsGEH4gOuddO
2xgFmBFlt0/6WX+aWGY7mwCLyjM2CAvpLa4aReMj8QIIFZR7HXkTzU+wXiZ9slwksi0jquUdSpFa
axEzbjBbV80HIaUXt/eCGztz2+VpKKyhOo5FamoqUucpCiqD87ptBaa+3HpwIKsp+lPCXO7yhLeZ
2wtFLrnOD8tkB2dq4eaC5JExTTeTOXKPA4O2RPxNxSEI4nZXmklsUCtVmnqfVAv91YtjPxjVLEDJ
9GkZeWFuXbRHhZId5GD6jGwFaTvpZD5XCwFWyMMWv+fCSfKvTe3nX3LRGS92Uw54Paeh4dLoOHzW
CLVERr7YO2l6Rndi3QRaHZpmuyP8mTQX/g8Oe2VjRQyjZ1QzpNsADODZgSOL3Xl2fLdCn6f0DlkS
6X5rodcnXLGahLgrY+yRckVU5riTI4gFkOzQ1LWqemKKKi6fzTmxX8kqvMH5Izf8i+cdKmEdvWD0
HzyaWiMqzueos1LgNyF3Q7jnQH+Bj8QJZTcY81TcOtdS0iO5kY0vzdux0foW6CYNjUGt7U91N33C
3gaGt/MyIHNmFpdw0wbRtXT55lN/S4bFvC6z2T5KikWaLXm/KXkwpyFuUNAd+lLno7T9zgds7MBG
wZXW8ta4Ygk0f7me/jtP/bt5Cm8zCs0/n6fufyi1Bra/qOzL301Vv77wz6nKd+CcWQhvq1M3gFvw
F0Fu1eoAhIcMUKvmtspNv6cqfNxeuKbF8JsR8XL/18dth38ATKMPBMMv0a9VQvtdYvKnwkX/yT8F
kGLX/vupygkwihPXMIW1usOIDv/9VFUygS+yEmzXfFXMEbMNj7hbrvn3mNTnyo7HakMKlOTQ2Hl1
uLHaBudUoNExlpqAxRYbJP1suD9LN0rZQBqbtkh6LsjfqqGL70bPmy9yNkXkZLC5N7Q600MmjbaF
Ajs70ULpbwUov0UFYWsCUdpKY1KXoGwXDJqWfm3gPp/nvE6v6JRi5xvL8hJba72xQ0/HrglFle84
u+onWiKo7BR1WLOWm4T/BS+4B5LFZHe60Z7tjWCowyJiKxxH9NseM+ohfximmXwb8WzdTnzNJ3fW
eR+FRujcpLKMc4wsXHtBIYRticSSgAk2kFTgpZaXwQ7zu0yn3S0mVjb0cb5sYxFTmqe7Ydox6bH2
8ZN8IFdF2H+axp7uTw8UupQh9b2YWahMcO2XoOHHDKoHxjF+c3FWHnAf5cMftaiI3OGdDzdO5pjn
cQnlfWfY3r7zFvkgllLf5yiXd9SQOtZmEETg4fVxVgc4gIox9fcW3NBuy+LiVvlmInbE68ifNzC9
8q1yxRsCX3fTa+cT/tTuyQRiExyQQqlatKh0qDayD4oD9Yv261QW1h7WTnAAkJ9T5r3E8S2wKyhe
tqC1U+N+c92hffQ9HeQ7z4vds00Y+oOTUe0caT76w/2alYva0akPDD73Tg+7Zp0N7JU427+bdGO8
NNKe7oY2d7ehBEPWBt3WlZh//LSTB1tN5Tks4SmxwVEPruicW0A4b9noeBF0pSKavX6mkTeJn+be
rXee4crjKORWaLOjEzrPH+O+Fne90fpRTHnFicv+gSKzYEcV5rhNe6GjeNFoCuGg42Mexu4ee2/x
ASj0m4lXcM95FesNdnjzkYecm+w01ad2MakDL6k6x303kli3HNbP7oPmaduyJb4At0o3Mqi9yEjb
Twu1NptlokIwRXuHDBLwXbYMSkkP+czszQwyXWp84oqVnDA/1o9uWVW3M8yVsx+0YLmNdN41HAvQ
+RsaVoaa54bHdtxM3mwdKkSfTa/SLMqFw+iNusxdnrv+4zx27mZIMkcnzN5yTsyXIC6nbI+AOq6S
pLk4Xh/lY5qkwSOcDvAH29mg5u7Jsgp3fHI5VmEPulDazVcTOES+E26eXbxG+A8w/OP0bXIWSW+g
mZf2XoUa4Ydy15m/f8iuMAsthP4K01pJ8yPl5KwnwceZ2nBxU9sqP41rXAtj25Lzr6ECAv9dA5x7
eBqyzBmful+CYPJTHSxsMeTvRdE1NLXjkFOkTlO3tbZzRXdZNLRIxBGPWZK8SzNL1pJJkzG4MLTk
8cRTInbTvJhc6sxsWhe84+wnEbtPBvBa2l2RHOcucN57rcbum1+EZuG98zMKOeLLvtNndDobUL6K
uVXyX15cnHJBKRkDOnVs8bMqeo8Zk4QBwI6usdh8GOb0a3vx35P635zUNh7Xf7kye9L9P2na+vNL
f5/VwR8uf5TveWCOOMWRMn7vzuw/0B5cseKM2c+s/8ufJ7Xt/oERDYsYFVieY7Fc+5v+YZMGB0jq
+sCPOLHXJOQ/nMz/6qSGjfkPJzUrOuEKlBQwYEQYxD/oH31mofTnGXbWwUfGDaFFjlta6MJDqupq
7ymgIciWefAQYo9EFMxUduWzq6OhTAMSDnZPFUqc2W9em8732rPU09B68Wcy1tN9BdK6AsW/uMeq
WRnVIT+jS0b8KvILxa0Gd6onqe6bgKClNqjUG7SE9MrRStioxHF+7pe6rHd1mKELwo8YWfwzgk98
InO6WGVPF4gfzs6+MFrnDpP3dF+ksUMt8TQYO1Eb9pnbC4sAfgWKKLidWil7whZ7gJ6hXABGrHB6
cwnqpW1zDgb2KZxA9dMDWw/vgoGYJj8Zdz/4W4jLNI5ipxX3YFTYDNRZyh9czr9qlFgXeM2W/ncc
zRmH+TGj997f2cR3PjJ+4Uc3pt6Fdze9PXjj4++L59b1pqDd4a1agPxvCVcTWqnQ3tUoisewIIkU
r/GysY/Vc8U67K5rAVNcAFYkbuT0FsD9OOW9zdGPsZkbZ83rb4GQ8kDF37yrvYofZG7G9Klzu8c7
4eSTT9HtUn02kyC4j0tg1RvWZcKMaEAHvhOWo977gWyxcmCMrmR1R/1keO9C+k1vcvJ7x5af335g
GXDD2xd3cpquLQWhtZ/SgVYzQBj6iYqQ4MGgK+WKsUlu8Xq48GXxWsm4oZWHXSdee347BnSmEytE
fVc09WA8LZwcO8/PTa5fnJpA+3snyhDw2iMJ+o5/M+gh4ib1V8Lf9XuDKPzGpMk1PVxwwK06cPvd
NGSwY0vdYQUe5/BhQmzAkeCETxblfw90P7IODKeGCdOFoshQ2kKH5rpFDwVLwi+0GgfbojWJHFa2
n+z7WXA3n3KVHWO/7pZT38/WfMji3rix6FQYtyPbLnp3KDyg4oLxrTulLmcafuaqf2Qd5hY3KUTJ
+yowTHtjNp73ophTb9NfdQNoTHQPgMpZiwi8n60ECYxHjIXGn4UFP9sL5p9NBjU7CDaga78BsEW6
DkifsdgkZ9RTgoD7Ndgnzc9yhJg4TnfufrYmlKxdszfSxXQnuPyHFBaPzyc/ToynmTwW8lV860s5
XLK1lCGlnSFeaxpwVNPYkKMUUt9g2T/LHBIpfDBNa8mDa7P1yxZ6IMRaARGvZRBirYXobFGegMiM
r1ln0ZYepvqWpW6NebN7zNdqCTyMFhuE3DKp6uUZemWySzDIeFRSqLWcQjeYQBiObVmxNqa+IluL
LLyCSgujs1raLRTfw3EWGRS1obf6aO6m6WIA7znB6qFGPVSPegluuryN2b+bLU5WPZ3HjKpRH1TA
zukQsdhPHVA/jO8YKnc1dqgtAJbDFOC8mjMkBm4P/hWo1xPdbBBkk3HdSrqvZkNQKO8RWJe513dj
IB5xrDMsNwu/thZ6aOJgUxxKOi8DyPB7ehC2TJ/qIlTV/shn/yoWK36H5TNivqnLJ+UNwV0+6HYL
JZGdK5Cbe/hu9r5eye9jhkHQ8ZZrVgegFx2m7zRty/1sFhQfGXyVWcwrXKbRFX0ny7umvhZ4mH+3
VM1tNxYxuzTCfsBLm0Mdo2fnniFumyYe77yWdBAy1FeWLvUBMTDYZfEc77F6MM3HbrvVYHeOi8YP
WA6DsWK9zMtcUvDT+8nnde8VJSY6buHTamOFPa2mnW7eAMCORyGT7iWH/86DMRqHpJk++sYrD/Oa
Fe0aCjEG04o/24ULIgNnn3NigSjpeg4sceo9VkpYeR33omgP3Idhw9RXJaQ8SEI45wCO2XYyDP+h
r9IQ/xRHUy7b7NC5juSp8BafVt9aKba1S5bvgjrrHpHS49ewdvnIujLGGNunwIKD+qvShUYqh/Px
qaIUhs3XAGYts4K9bLvwoJeheq+AbbyFTWLsugGajh7VclVIbzjPxgYFRQYPNv/DLU5v4w4P1Kuf
1FJsYab0+6RlkcioZkLmmrrCPLtTntyEhQzCTaLcmvqprPe3hWVrvCEIOZEzYpFwAbpuB8u0r/Ya
+0OcmtA8kV0PNPQGGGj9gkrYhP1xlaD3G73x2lWifeOJU3WU9WN1EXazGiL1w7R04mrncEQC+Lg4
OngMnHEvJgJDk5muV8Mm3gytY6D7+fkPu3Xkj142QPRTmyYhbt84PBsKKc7K58Te5nPtRquI9aLT
fnhMwwIcFzCDXcWF+aaOrc9G2H9kmUo+oVlAaZoBkbSO+6Ic16CiqC22ll0MBL1JdS1zHb/AhDtM
dv459vpvgVW7B6BxHcWGC26ebP40D3MYdSVeSt9vvtQS6uxgi1NBiJuLi1X9SEAg0UdoaGLVdn4c
rF7prYXxdwfE3bwvqZXZISQXD8r0riphHy4xrOxkZwFzItG5OiDTZqx2rSmX62rRx5XffocF+EzV
NqMU8wVGPXMz2gNkQWr1IsA38NtpsaWqxq3XYYa69M5h5UkTPd5xFWdfrKJ4NixPR/ZYi8+wFygt
yAL/R2M2j1AdPoBBY2rOgCcb/rui1iyqXYr9pkL453COl5tKwAj0bZjKyVLB4+vPI4ky3p1VtQPo
gNyaDDANp1me7KE6uTP+v9wzX7JxLm5KnvmNwimyN5s2BOXY4XUR+aEZyuqsu+nJWdJ2T/Ww2pTD
CsTOl+8d8+e2s3v9hCI/bLN24WcdS3vGqQ7IzPV0R0NZK/egx+SmMYJvcWJ9ohwsfhe1a9+xWaLo
JnAf4FzxXLnfpCVN1kx9u6tg5V3AwOlLX1s/fDlumQu+U0pBOTMAuYoS03Y8BhVKSetUzi6rEVuG
wEsPTCz+I6HWhLTYmO8Rfac7S/nxfQNrq+GXDlKSJj1xTWeSVTRc8IiaQcI+YsJ9a+bm1a7yl6mo
vMd4SvsDxkQXIcZS+rFPe73NWyQBwGaul2ic/1NwY9StF7Xe8trlxMIYNimovmN/nxDjDS/4Ez7Y
WmCDlBAADHEXj+3dUnI1TTvWA5hu80p+bsoQH2Y7PY9tf1+Z3R3xpVumNfzV3gIruANwBB6tYAYk
AwCrnRVBUEJZc9HjQZb7jnuDISm48WSt6GEhlDhj0tjQYrXcW40qLv9def9/vJLr7Y3r1j+XaH9d
/P5vFOnPL/zz2kcUCVswvTCUUfxG2P5efK9RJDRWG0nF8a2fTI/fEi15IzyRgDDohCAq9Je9t/UH
PAwUWs8GdrPeJP+Te99P++dfPZPgHbg9CoE4i1TMXfMfctOhwP8bx7VxwRgzPLCil7sFz/xJlkux
86u+jSgatR7t0sMUonHgmbx0TwAjmGoKPT7P3NvYBrEeoWQyIBckBndDZkdt4d7DPAfHuKOr6DGp
bDDOHZwBZ3XkOep17Iv7kQpLXNwJ9YGFhUDiofqx4AgpCFh5107BeqUmt/rUqRp/VWUBlbETeXXG
oX1mX82M7XdONPdN+V0YLIQD+4Wdxoddwevz4/5hDmeGTBjyh3qkAX5j5718zHAxncnAAIT3UyDh
Uy0LgKMLUlapppt59PyTTCb2WZgCQYTH4b5re94eZOO9CASHuDaeYU2b0ZnjaJi4G7EQrm2uFkLN
x4VSsB3mR8Yst3ZvRBMcWbQ9VoL6CbsLzVvwsRcVTzLKycfjumbDU6Rw1+s6iPedqOSWB0bvCNM2
YMeKcQPJewtrnmZ31cnL0jnF3ncNH1NA7m1jzZ2ud/xqP1kJ+vSkKN1AEOZmU5TLU+1y8gMZeOXa
ar2M0vUIufrDuzK1BaekpuwVD1l8rZrZErtSAy5HbqcFQFwGFdvLk2rsAsBPNurA+Eb3tYn+hQvT
WBAtW5AQnKntsiUhQq0kfMO623SsKB9rWwXXMAmFgbW9RrhqsGqNB4nAfwQ5Nx18qRjGWDf7d5PE
x2j4neAUyQyZdptgae1h0yWZe+MXjeDFzSi2g+fALZYEEC/YvHeKqzGzvzcoQJomUnTsFFevuP7T
Ol78cpLzB7X4yqtfLnM/Vt3qOV/9580vL3rY6my1pjcMqvn4gG9SHlStAz+5g5A2DOMeZynB04PD
/LzOjFz5vJdR9K14MoYZD8YOji1cGrJHSP/WXrhBwKViU2DyEtPtmFG/VO8JDShQ7aUw36gonR7I
Q0Mtm3NF8yOhvhyrmpHgGDBd7FZG39L0RHuS8ZoWLmR5nFHMf8Tip9vChIawUWHNPSWpWaXWVvyo
yhRYB28SAg85/YqvMdQ3eTXy2TK3gKfF3TKM3rBn/zzG255dvyIXpRSbDzM9akU8K1tozdySUpnx
8qWEbmzywW9FVob0Q9We/blOHSsqE5nc1elc33l1FjD6VtXWS001Aiup2AmLdmXC14ie0DGP2Yy1
wGsb9cpam8uZX5vrhWaG2LlhfdVQYpLHp5ScLiwA32B73HY+9oUOTCAlsx1NZ3Sk8isnz7TJXbub
N+bPngDRdsxKvrrHQ5YcfMxqqTm4d2E+JM9xWU2XikulywicLO//PRD/XwciBxvn0D8/EJ9/TF/a
vy4rYaGsX/H7JLT/cEVocWyF3m92299OQu8PD2gK+A6TQ49F5v9KoJyfMChJynqOIxzcY3+TQC33
D2r8oPTAVv0zyvsfSKBYVP5BAwVf4dKSGPoWOi1irMVe9K8eeQZIY6BvRZxGnFJvg+H4m7acvwWT
VV4Xysx2KUSXzSR18eiPwS1wKry8Q14/VZqIrWjac48BabN2RbG26o3THNtefBh0noJ8qI0vvU+l
SuhpUR+dIPaZ7FycMPeQpGf7wXGywpLURJSmfwKWHljX0FmEfmnphqV5g5eftg9ERNnSBBWrEHBt
mAlgOxfh0ElnE8dF7lDAmQhuPdXYNPVLGcA+oHqOvmvzTPjNszCBxWG381PhtPu0dKzq3DlJBlKD
pnNWxpvJmikghyKwmGdfz9arMyctrrZFm7CdOieeWN9ZPjBwNmsuPSbFnPn5czwbBgsL0wf+EKX0
8H3JVRx8T7ycZvHFQimsdyuMbqBAk+5Q8YTUmFeobKAlD8WkrUsg7GVNRIa04QCnGMAvM9fuB2zm
w27RONKjQOdHMPPV+6QymnNKZXfH3JgCwn2B+z4PLI3o5kyPIGmeEvzX/LL6/LZmoj/m1via64wc
czeyc5UhGeYxwdBeyyR9y6YMLXbG+uYH0612mks69v1bm0hFXLG9t+WEWUwNIXJx4n3rpnjcNP34
DqUMvQwzdDHZp2QqXqeBOPVMVu8M2OxrQlxuZ8dF/wTUD3wgwuUBwZCmbaXXyr3x0PpsUANLHaww
fByW7JV1NZSdrLssraYnqUiuC37erey7dy3bsxy0OhYdnm28VxFmI2vTsoe6VEwXVEgv92kiNUj0
4rWiYxnSqqF3hRx+eJnybqW3xPdjqD1MdfisQ3goaJRxVHDdODiDg3pEW4jFUjsahmGC30CUllEr
vYn7srkNOohSvuuIk6+zjJ6jxd30RpJul9WQmPXWcJDYtr4GaT2dJzT6XVW7BpPf7BDnSn5gptd3
rgEfusumJ5xb5YFZB5ZNVmVHVXjehiIjb4OhnQ5M5UKiYhw98V5I9wBMwn0iXa5xqREeBm/8AUhd
nlB22aXy7tjgCcho3Jmyr9peNRJXSZD38I8JY7eR1jasDUWTE12ChJjFUNJt02abwJqeTVeJDUD9
V6OMTySAoXq3Fd61znhzofWDdZnyc1q7WN4rJ/sAhdZ8pmKFmaTjqB0dHJ9DTSIacbi4IcfbXzyv
4xNPmK+ObELLH7rzyLgO1JYBu/cDgT0/H7jszXIyqFkR/SMrhdF/Kp2C01JYlEfAtc3WxKUHY4Zj
NqYbAF2PAoDn1pPdthPmkhyAoltn1cNd3c52x9/Gg0U5aMwesS9reyviYbiHnGri/+GxSMIBQxxN
VPP3uuKlukt8Zz7jYFdHco/zGB46Hi1apWYPZEjNd7vmb8buw6xrmlmSMWYRNPV9+sH5HfJZG8Oa
w1zU1XiFSty+ty5PC1Olk5KvGqS4pCqUhzHDcZjWhnUQFlNHXeA2m3MPipvmLTGN1lYLRDQXsQz/
HRgbSpPtXRwu5QEBAVJQsHyayKW9QrWermVuUIJUvFlLJjaqpNlA1kjbRu1cc2EVUVNa+UUZ2XcI
9k2UWVX2KpscBzkZp+zWYgrFHtIvdsQ63bxno/NSl3htN1QRr2DBUp/NsNvbvj3cDCyVHh07NJ4K
p/UxHrqQ/ApK2RYZgrzqk5SP8ThBCwQ1P+1RQcWthz2V7H+HDNp1HU7AVO/4c8grGWI+NOunFoO9
90CrgA3QyZ12Rl0SfSdkWqaEPbK5PY4mljxQKxQq1MFCC3PsqQd87u+q1+7RGWT4rbHaB39y0hE3
DDEmO+g+eXMuySMxb1v2cMJOF1BzgBCNA7LqPmI8Bbvc6IwLpoV0Hwy9GSmxgJnQE+GGJECWplRh
0wbzNRuD4m4xxHA7ZyG+4LkHV6omqhRaptTBt/pd51ik+0Nn2ojRCrZhnkMVM5vDbCQN7+DuNux5
ay02WekQVtpWUNN9wqJHicGI+zgxx8c+ILBdBOzItIMtmX9beKyn6WDMdXhqxBAjNU+CtVoov82V
BjFNVmbbmwZVUwRfEXd1ySIxsNrnMMshJAQ4jLgshlHb1ScMNvTTGtXHVPsvkn6N3RKO/V60FXn0
mWoPAxwectxE6LeX09ko6u8Iw7foL/3FpHWPmPgqw1q+urOYTG7Y8uudEnO+B+0jTgt72aPh+uGm
roipDaxKt0GCvwa747zpC7KycJl439Xe52VBTlSBb+7Sovts6aK4wJnBhDFzyY1tohwVU/gNz0B7
wBecbsei+CCNEe6navmcVPypxYLQjPXQjW8BKccsF2g45+BPvkLaAERTds19TIPNNmW5cR2dYOBw
x/iEP5EoiPuBBPsDmBbUI5eBYZicN0lCCBZ9W7+WAX/U0jhEidGiP5resdC+8iJyeIliTh/Te3qp
8ofQ0tVJBNZyMxQdPwa/+NxLcDm8TAFLEP19oyySA6Ozn8DGqe2QMPDnU8B73cvKr2TVLPJ0sz71
4Ef2+eDPW4Uzdd/mi7yxTAtmxrw428Gev7ZpDPATFWQzhnwP9K8UYCDq4LUV1nJf2Li9OU1xg5G6
p6qFH1jFtz90Rf7Ox77o2HKo4Ln2Xb7WFtxn+vjkldO4NcoweegJMd+7lIO8Q0R4cj1v3FLmcHUs
3R5t6N3ErdMcWmgb84Nm2em8sLaDn4vRk9RJsHOW2LOwpPkJv+lhnCPqfsjseQMb4URbbKMmxc6J
3/PGqkx9N5gL3mO8OEd/coPPY9GKd0JO3/Iq7u4WYRv5bhjS4ZhXnX3nSm9gK5zTpeOICsEERghs
sAGtI3ZdngghH+sgdB9pLm/FlremwYhhVdbWBXbx0TY2VUN8UBN+pz58LUrsG+9QVabLR0axk4bJ
BpJz2xNSjTCkPlUZZQzcvW+gYuafWvg4X1VSn8uRcvgo1zAI6sT+TlDcZS+VWd9MmvEgZZDjAJqK
5+5UjRq6WlbQMxFNlI18E3SARJXu26dlbEic8vK8xWpUHkLl3UMdu8Ropn40cBxMR9NYch5nb/C/
x4kvt6nV+ndh52ZvoFucW7PP3KiRYwkp1K62la4Wths1S1bd2fqxsZ0mQy8V7XUqrIDlY6zdDbnC
PomWJgDTwSZ9vlMBaInEbPJ97I/dnigyhFe+r0OHkHPIyTbJQw2H4423WfHGEdd/glcmnoq8o/8m
97OTcEcm3rj2zrWCRbbJjDYm3A6Q/DWx4IdcBmMmZbikzTkE1IN7S5CAqrg8n60aD1IqJ7NY+WNV
5A245LgnNw8dFu83ESz9d7cah2PQalxced7dOUnavMAObQo+fxoavo2rq5AupiWmq+U1bGhdybk+
tONzgrDH+tp1KPlcwsqGUlNW87DLcj4PF+RFKXf4r1As6KnyPiUFK4toCOjEIKvhhHwQG9AWdE4j
GDmF4109u0jfB3/Eaqn9/qlc1GzCU1PGLepY9h5LV+2bOKBZUi5TyQpciYhMZxJsHKcwgk0rR/km
4il+gDWNHiV5vTYyfCIZDO9B1f1XJZXGpObnVB8tyaVRjKSlGlbpSA7y2UwxEMJptQ5jIIubXLf1
fpZdGumkLreVsZR4EhrKdUZkhwfcIU0TuQsqWD4gEg252d9ItfQbx8rVsfen5N6q7Hh+DPy80XcT
WDw3Ckl4U+xF4MOzGBbAV4bzGi37xd1m3MxWDHfh16PzpP9EdOOzD/ymxbGX0gQ4/gR6l5NjAEyC
c10ulWqoAEh5j05BOTE6efaxS+mvpCNU9hE88co/YoyszK/Yc+NIGHmc3GTDkNWYEkST74jQjqQj
+qFCDPJH3j6Up94MnVEde9xzj1MNVE+SEz0sLrGdoZsh44xNdWp4JqO+s7MbeIcAB63e/wA16nwT
at0gw2fswIfI6rktwjh7N03cPJJ0KGs3kHUB7DRWd0RCfiBNJUevl4zgJhaIbZ019A3lo9hBAl0g
/rSgRlqrXb4IBuvLOFfupuR+DAVYHDR/7Hmx6u6hqrKKEiVHPo6j6Z6XKhu3wBOryE1NPHBmKu1d
UrSY5AVRdAHSj/UWsYqG6MXVcWpJiY7pvLRMkTtW+ZBelZnvEs46hvN63k0WONy+9E8sP4f/Ye9M
tuNGsmz7K7neHLkAGNrBm3hPutPZUyInWFSHHjAYOgO+vjaoVJXEyFJk1DhmCilId7gDZtfuPWef
Tc3B/Y5mYbhTuWm/ugj5D0TrylWElgSZH7gjHxntPo3FALTPXbwNpcfX2ybjpyI0hn1hO9dCgxXG
3nU98E7oBpo2c3J7OjRWAfan7+NTzpFW07dyFnWF1+xkqN1tw4x+BQl1AQ1labIdozLB0Mw2HoEZ
eqGJLUnN9MuDkQLWMUZ2kmr04AwBH2hhwxtAYDMhduTTADoJfeO6E/N0J0dyF9HuXOmc4bKLf0lR
gRvFlqzF5KuUnnMVRSCDyd2MDyTC8+y2LPw9CToT7Ng1xnfCHOm4s+mM0y3kk/A86BhXJrO/Q+6l
RM1i/ViZbY3E0LRuggCvZ9u2mqRkGb/CusnIAoIlQ2HXBOccbwMB7Wa+tYrIWWUIUZ9j/H4rjOfk
rZdpUj4bsn1uBP27ZAj2jqstIqLk8MXUbKwB8RMXU4kd2eLgma4Gt+tXGhopGgfEEsiYwRDMxasb
imQ78G2t7Ep/lAGHiBhI4NzgvS4+wktc7jcktFtSabF4ayG2SN1hu6QhKcBp677mrSZdNSbukpr5
DS2os2KrMEj3WDzI3fOyirul9feWCWHbVk56KuI4v6H/YJqbnvykYDuAYji3HfV2Zg5k6C3tHx20
8iJsmmKLRXg+IIYzv44VR7Ssy4YD0Px+MxqNfZt19JtzqT53ie4ufcDJKxMawSXygk2STJJWp9ew
ARv5JWqh4XbOQWHGKJk4r1GKTVWK63XOyguy3wbCS4Z2+sC0HY7AMF4J5HNPlFIPqdEQAAab6Jh4
aPUaPVM41gkEhnmZO/eG2lRD/xJazdVoTWKVZPZTZbDkwZ9wdtJTwXp0RfABH025Eo1C8WUGw9qG
Jf0AgpEkojm3j9WUnFKjeu6k3wJNS+6Vhw+RlXQ3TlRHVQwtO6ntZ5EQhCqGyvnSuoXamLHCKWWU
TxpgyDcpS8YFcRXgeqHrQfGtJTDJ2SvvgqljxlPHpGx1MoheBrNHAqCHgfypcBrvGuhsaEgCYLJ7
GhDjzm0dgOpZyfzYKbS7z3sR3lUsWN1KCrcmvGSIMOsFKukMnoRy65k5mDqayOOcwlOY4mjDVyX9
qzxz5TXAHgprC7UutIAczptnz0W1HYLCare9mcizja/hgj/wT6SmfLPhrjoZWWp5kCaXEDsgVrps
rgAYPke57AmyNvJ4q71lRO9n4LkKfTmnfs6jbj0ptiQc0Z1Eh7/0AmXFjDcEkuZbHsoHt6PKWzyL
tkslHLc2S4Kn1TAecKQd/KF5gSt1ie2TlOJUInWIjasoRIw0FyjRM6LQpDV0u1HAWvZzr7iULu2/
hinfmtRU0GOc4tYR2ZMqHm7DrP1ilil3fDS5qOCqW7jT1YbGjH8BvNxe+UaX7Dm70ECcS+OaYd0H
xjXtsYsM+FLKS9dxAYY6MWW8TevSOuiMw5ly+/aCVAuTzkVXr8zc/YJSJrztDZM2XDRCoq6nlzxG
hGV3k9gx3yH1tROfInew7sfAzTeeRoi2zvp6/Oq2/nDP2mevPI98Dd9s+kvV0IzCxbm2IsO5Kojw
pc+Sppg6zDw/hF515XQF5sFZOP3GTscQkVdslczfzQQUKfujFc71Lk8n+dpadU1qmyOWrPR5/swY
kgG8NeXGa4398to3C3L12PDUimgmfQjyTDGS4oiEIydLNqAc0Brg0hXlNH2izuLRiuHYQfcLrutR
RHizkv6zkXrf0OJNchUmRgvNLghvZ82I0E39sVrL1BwfA+32N2R0OvNZ6aCWq9Ev6z1d0DJZhR1h
mvMcervFQuOjfUv1RiLCVWs0d3IHZCrhvBAZZxIJXfwgbAYHMnoepth9pEJw7xsS3QGlTN2B5wBl
pWqRrYTB0xgAaYJ1Yt/HJmoLSMbXgdVGr6WujHVWRgHeAhvdXsEh3TiOWN7EqUC3tmq6ITlSQ3R6
B8SsXqMe9vpLp2L9WXlMMTOir0e9NIlwOY70wqhpSpwIFYcbyruxJhQFI4d6UtJpjsw+AyBcZKuD
McDxs59kFq0n1oVnXI+hOCPOMB8wv1reJmj6+UOfd8WKxxgUrKBBnSCbgpwpeglRjrunWZty7PZj
U6WnWUqpNmxYeOJUH1MxYVFYWXaHhUB1SyXEKvMML9Z/welAfBFpn91BBnitIXg1FK0BeUir2CiG
NeN8fe/2sqP5ZCIdWXEMC/gmjPAJljNKxCTOALPEEaM8emrT3ZQPBFAJHrTt3OiJGLuWg7cminVN
CVrKzSDkN4wZ1ZYRwe1kUNbP+B8uJfrhjSt78GBp1NzqeLA/ZMt8GobFYgRRrnXTNjWmXPTJwV3r
KvZT1rL6ppiN4YPhpP2lwDner0oUbVdqMroPuTTMM3DKaW/LwAo5vLbitoWTehcaEccXhfvkaBiJ
/Wkq0vyya4MBS4agGartnqe0rlhWV6UbVDY1Y4Jy02UCvPZHhx2LqC7E20KFcXamw7/YtUMlimNm
2ZOLnWh0+aZLIiA7FZOWmLc3RIYB3PAmaeMdr/WDOfvxZeawVDLNnL4V+BSfCdekUJu9LiB7y1Ln
JEQBvoqztPnQe8Qijga7blw7bGbcUhsOO+nWjNtsLw2EmCtao0cVaX8JBO22QFfzk7Sw3lHZW+ap
JvTmEZ5NB7JDp+UGyS8IZgWpVKSdcSvzRp7daQwOZWKRsDjMcj+2iL6EzLlLDDV2VwEet490bw02
sVE+mNR3J7DQ467vqP5pZ/p0aYzkDo3jsA7CGOcos4x1LNvyqu/Cz8ZgWVsWp+jgJW5HRNlsXYUD
jwaEmwSx05JJYgU3lfb0xTi5w6Vn+PNIDkNBEiGnjp6KcU2/WV22IH2uAIjkJ1LmPpHvZW2HaDJ3
WTC9xlOJW9UBGRARhIrQIirplanpyUhFtPNBD5DugTPW4EbfJwNc1gE5wEXe1vRs6ryabBpt8yYR
2tp4mBwY8dfUshDnn9OCvHCOCjORDNqD3GOhawr8mj6wFRZky7v2UNxpF6PQlLDZZO6irCSzND8Z
PsoEl/ENPVYUEVOd7Cz0qkSMEK+az/y9Gd22Qk/XIxESK3vIn8LW/ihiFmvsL9sUKu6GTslrWCmC
SWIGHiOmok1rkMVW+Ua9s63cOYxOiRcsu5sDsC3kOGH76s0ZENJ8LZKUNIys+SDbJrvBFHeIDBsX
b9PtB9hILwaRCIgSjY+C6OqdOVMh68ZAcQquZYW28bUMs+Z27Jtb5OfEMZt1wNZuLQfBpDCuA/gl
GPZwGjS4fE/OYHxxDL+/erOqK9b/VcoYjEZP6HzsRsRncalPDNT1hSqav9El/xHzTjiISX83tn7s
XpNfptbff+BfU2vrLYzMhE5i/vDZ/PDtcABFv2WSh0S6+UIuYTT9Q7+FO2eJaAx+Um4Jn+wy0xSL
yMr1GXS7f0W59Wad/Ql2R9Ij1l1TEJy2TKoxl/46rIY8T5TLBBMqZKxIFGwwymnaQbAKn8rSERe5
1jki3TiWR8YyWCGmCQlp6umbqanUQTVY8VEsauydPQnlqaUJ5JncG1bZ1hQofDS8IoJ+0Llw1ilL
z4lGNDoTkS7rPhyC0HmkUgpLOhMlQAwvHiExrcwiMq7DkhnFJWIaOo1rm5jqAEEW6a39YcQGpYeL
2Md+GF1Evjayy9APmuFeDnzI90ZV+3TmnMR2tnE2wl7ls3SoSHKKMpOXZZuXzAjj0o7BtAFo7e5U
6ZA0MhbpOSrLhDYeC9l6xCb3UJU2NARQCQcuqoZU3xufiFZMH0gzo0CAIpDd6hqYgqZLOSPd3CV1
1L+GlklKU1uiOE2pTdeeCZE1rAcU9OtQzwhELzO0wS4KGZgxEJXG0RyaIxFqS5oivj59TuKcTEW4
tDSHc2Q9070xWT3xi2acZ8ukRbq2v7chnvT74Xtko2XGkYVoqGSAnus7rzBTdSUhe1R8C6Vr2+Vw
8beQ5T8RsoTY2363IGxSKMrp5+4f9bd/0Pjvy0+/evC///y/1gffW5LPCHh3AhQsb0/1j/XB9//J
GoCexMS9F1pvEYc/jH3kpYVOCKVPAEzB9sfTy+l/wWWKgGg2EoT4Rw8ntc0//RVVyztNy0LrxNaH
4m+JZfFYMX5dJuDF5RbsavOAxmJdxt+K2LjWEyYYPHskTB04/122ZrQlUuEjp+BVJto/iRILEe/8
LDF9ewsC4CVa1pClalHV/iyrqRmwyCAgebpWk3mOnI9TKE8EfG4r0PU5Qyqza3DES4gzThFdSfy+
ezQ6IHHtZ2ew13OyqYDcXpF7skrrYNcxeJC+dSapNFo5LqITiaFvwNllys+OZghK8whnMoqZF05u
lEgIMx0Hg/v02M71PsXSBlh+csODU4NQWQF5OjXmUOE6MEEUUti1QmzMvGeqXj1NPH+Ke+LAsXtV
ClJWbHGMe/Dl6EhvnQ4LYbCYZgIDc3oGWL0T7bbNT47R3xZJ1SOEi1ecD7pbL3y2hLFtY8gBLe+g
zCzUQGLteDR1ceCDS9r2dcHIolzD1ryDcfyAb2bxKJTboZMvWOvMfVr0NzSvqKurT3Pcr7ssXzfM
IfZ0z4LV2HEsElX1udSOiescmORkjp8rJ97EXt+eENPTQIPBKT36G/AW01xcx2UWr/9eXP6TxUUA
EOMZ/N9Vck9fFaCC7peK4/vP/FhRrH86Ps+KR035Hd3x305hX/zTwSRsAmb4rv3mlX5UHERA85Db
SK+IPn0vGfd57FiiCMayTJc65S+sKAuy46e6g2oHrkjo8w55kUWS9+vTjMO+n3kK3UMQ0L4vkyRY
gTMVq58+k3+hRP5BV+6mTquu/f//7/2aEbBccI2UVaRi80m8WzOiHqClqOPo0GcV7MmBjEKEK1H9
UnWDvik9H5YmVFe1qWcIvr9/7eX7+vkSWcktDNkmyzAfm8+H/eslJl5RaJETEhE7YY3UWrUjzyQ2
5tLFjMt5tn6NKXyAjlXIOdp5Sr9qAy0tTRVPbAosl6upxyHS0UVci8ZoLvu8TrCAZUtLpQAs3k0K
UxEnkKu+9aO70iOl8v9wEf6y3LohFaftvfsETeVIUXYzmoqZEkWTHb0rjRKzrT9Ojw1Mg3Vk5T5H
vnIaoNJr+UyfLNi4dbwA2NJwMSjb+qZmKETfecbvEqLqGYIcbmM45ChIRuuhTPtuN8EoQp5Y4kL7
/TWgFf3D98AchR3jbY98z+RrHdH3kz+GZOzKcaOAkdAYVhNet+zb719pKZZ/uqnfvnEqfIGYlMxf
FKi/fuM0HttFRxEeBsE+NYGP33de0FyqTjS3potb+fev9+4henu9EBCzg3pt0b8sd+BPaXW21VZV
iRbhACZD3bKitKu5hwn7+1f5N5+fA1qMCJxAgBB4n2EcKpaLYjSCg7LHFPdG9k2KkDDHNnj4/Qst
+tz3n59rIzv3efCwgr1fFLIYWe/IPXiwZ8YAs8+um4TcM9PEFzeVsLgY+cGlqesuv0OnGZxk4SEw
wZB+l/TVfCxdt7lVk4el0xtwM0kLIwlOQLJW44XgTTIANmvuzcchBvu5xkvvAPXPRnzBTsyLEEJC
cHFgp4fW9toPozenh99fpAiWWumXuwT9q8XS4Ns+LZTQ5bz387e2EGT7ZFb6MGZ4/hCiImSLo/aC
yVi+q/OWHrWov+lCGRs3J7SPmzc7FOUSZ4AEa8dEiBCFPEVK11Vi03gVcBwwjmcXK9mLP5blB7fx
tsoa7XsrLElkVGPBSJRez4Nt5uEugcBL/kmiH5O4smkyptOeZHcLzfsLy1l+8DrXvY572z0wQON4
h5aWo09Eey320gOsumldu2m55Xhl7Qm+Ch5U5GYXmcGYorIafBcI7j4nmI7WJUChC0eiB5WFNTar
YfadE3CZgvOKRxbsYNMpcwAkehhzi3VnxfUhV3X+1EFYLBqETcwRjGs3lNOXaZoWV33SMfLtxN6N
HBqFmZdQ2tFB3dDQcm7dRJgP2I3KD4Ty5N+kldQIm81wQvyicE2uxno5lVaJ/ujDBd/4pa0ObhgW
F9mU6dPchN61V+TBpgvSJZy7TMdrJoQ4ebPCfTWbdguWEJpUlH81EClcIbM2Ngif8W746pLjLe/a
s5otOUAXejCqcx3JaGVrmCw0ERlGGWR/0NQ+LZ8nzsIMs0UYAKOq4XtbpXh2E/BPjk5ATeZleQK/
Nz0aRd7RBoNwfbZ6IypW0+JdMNlf6KyPYg9ZN7jowd29qshrbzI+J1RynHPXjd+Kh9whEFVyRwy4
LftGiNe6UcwtEtvYCDQG5WppJD3S9+5p0umRrwZOMAPc+DBO/S5JxK0dlf2WtW24wCdLKWjoLlip
xP4iFN85szx5O6niKiWedw07IN8McQGNkrn5CrQg+eEmnWgbhKAZU0FnoY7vkfJeYc9/SeASHBJi
Wu8ia562mfJIds1RSVYVw6E2WxuZFz51bhTshFLI23Q/XlZuHq7qYSaRzqSU7rPGwNyBitynScoS
BXbRKiu4c1m9+PfjcM80t4IOFERMl5OJN6OjHXBUZw2hpK7BSjZkr7AZ+Ru2ISJl4sCrYAuliJ9j
z94rCu2ji1/91BnEISkESq8ZTVzAzK2Pi2YCvrIy7Uxez0gRWKZaC1vYZDkXaAOLgyVS8+DXPC6e
QZxSvgobxoT91h6ZtyR+QppMl0RrbWbVZzU48ceMHJkvnt9OH8WgxsuSqcZFPoQEecXSOSnTABTd
4cDHJzxc9Mjcr40JgUBfTGixVkiNWusC6oo/Nxur8cptacZ44Y1ZPzqDWe3E0kw081huUao6WK6R
cIN7SPeW11SnlEE7YwnGGm7Nf2ZVTxAMLZ/mbU658ep+2hsekJCmNfNdlA3Tt6FTY302JzzjESPv
9TxMiKFrhLTSJpwvjdk5rBmevG32cssA2t5yxerS93CtjUAeNnZiTnjScJmjsHSubR7U85Qyp9vk
EYxVDmX18JUsgRGiiEmXGGr85wRRzg5Ktv/0RiGvXN96MEzqC7QaCcxaQpCjgZIPNKFJawl31SYq
dNOseotcBm16+V0BVOFjlol8k5szAd0GdaHhSoAIuSUuRqfJGcSF/VPdteAnGFR8mY3EJHPGYe3h
IIpuk/LLK2rQ7PgsDtMk5Fkkc3Tpt4qdawRrt/YE08gMhOM2VANXTuzZ9ZLutXF7YW+bboaLS4Db
9exLxvMobfgZOyxApjOtXPdK8E7yPjT3w9BxSYa3hDRhKoOGy/R5i4HRvbZYGJC3QCqQnT2jNvOK
dej30SW1iguE1AtRjhfqcvC4Xy3ixL9RAw9P6aBY12u7uQRIOXDmcx0bQUPZ7KPKcI/ohoy7iRdI
NjBRKS/glfC2IaW+jKS3xCsiDro705f8Ce38nTIhaig/sT5ipSBYBuYF4+Z632Y24wbqRXF0tbnH
3oeHDVjbeRANo06k/hdlDnhqKDKg3yJKtnXVPzCYtfFvdOkK4aS7xe+BKbuC5ovSYdgrOUzJno/f
zz8rJ2iSE922BkDqxBAfoTA5DF2pzI0SEAhOIYIzyco6tTgwAttJzkjGdTn/3Q37z/rjtIUoT39z
YE1VDMzpFwyl+P5DP06sYKocj7/CP/VGoaSc/R+2FWYvsFIhoCoqa0Hl+KMHFv6TAylWK3rinkf1
iN3qRw+M/EaaVcFSTwb2X+2B+RZozV8LN16e6Ty/kneBWWwpx38qt4PBq+saDh1nViTXpDTV4LbN
0OWxmxqivQQ9muhlqgKStfsgTh5Z6/D0k4pwTJO4P4uaNEJWALFz/ciKtsp3g5tkorWuvKp4qCui
71Ycyy+aqHuI2IVJKu2bV5M5oUo3iO/ix1YZ1ZPd0X6X5cg+M0Cc+uJGVX1EYRuenEm7r5XZFFC8
bTRMQlL1rZbTw1Pn1cbXXPv6kQ2v1F9DYnD87DKFyXpmXr5V5MgFsc6OJr7PYO8NEKJG4RBhyMS6
d859RwueVbo2HgzHBYAJ2WHYSgSbuDERmLZlSiiibwt9tpRGXJsnwUuRFwHJcJxg+VjA7R8sPcan
TFqIqHJvafRzPCc9eRzdndVAHiY/6pNTztWRDQPEXzA7G1c5+UeVtdXWtSKHMo8lsUDu/gS9f7or
a9eiwmzZu2pZyhv8HqZPTAPUF0YExjPLNls45MPHxGyTTZ5mBaGDM2lwT7KFTIR2QAMDnhWQKxh+
kdnsojAmrpVqsrOvGyhlzc4AnvagmsB57RkqoEsoCJ9wYgd6QmhZDxp9Bp8yi12M9CC0HsKcVs1q
sjnaxmnHZlrIRXPbiYLTiKo760xnECGZT9ePWbes0BcFnB4ZhycI1deGaqp8N+JlOFoYUZY5BH8s
wBQC7kRy5a0Is+b/m5KSn3HFlPsnWXH2tskhxvbdoe3K4OwuobMQmLvBWciGSQzHN9Zu+IRbgiQM
HPvhEwUlZEgVLAyoUDkWOW0ul1H2Q7of/Rq7su5CkM5J575KGGZkFHdARVZKt/MxRNLLdZYWh4TY
Yk6U4W1uKcL4UJArO9mxy+ciucTMwBsYrQZtMJxRPt1yiOQzGWAw3OJoyBnETkqQ56L9wtkw9vXs
czQUY7Rru8gkYFAOKaNWJMxfYFqBeYa9g2UIFgowcarZYl+gd27WtVEN7bCCQ8Q/ILbg12tvufiA
3gJBEDZW9rUaNX8zNzR/HI9WhqbaHlBL0AFidGusHUNyEVFvmzdBOhAUt7yi5/e53g2Gx1ZcWNyb
zbCg87Mxjp5G9JHBGj4DHkVntAeyv5XlvJrU4cHaiXV99EwlnxvI6sMKr446xGnmOrdxxsgsFwsw
PRWparcAaoRYN3bK749FwWVNVH6nBNn1B8b0k/H09i4DRlDxoZiIYlvTsufNutLjLjMA9Z5DRS4i
SYGtQHDijXzPGPea+R5gE02ouli+Uht7D59JtujdO/JEj6HXwhtSNf8dTmmcrZAYtN7KIC15n9fw
VSEp0Mzwx4IVys8adXBK05p2aSOLb4h+uSMzz1juKWsRrceuEZT7GlMDnG6r1D1gsVyvtZ9346YL
KU/gFo135hjomyGb5LPgTkO/W/egu2h2k4XD2EOeuoATiXRpPru20SArtXGz9yUwr/WkWlIGTD86
ZuEUPvFlImQWFFt3WTLh9y5UK58R5bToEjJb3w/cxfsMIfgO0I6N5TV2qd279nNmwDFEGchjUYSF
vg88bAm+rbixbQUVm7Z+bZw8+gRcHVYcgYUV7P26IxJHbNywQg/HR8ZwU3PUx3QV+p8bmdESsyoC
urfMO4Ft2S2AujjOnAtYc3y+k06iJ+X7rCB9Q7KCb5fjNRJnZ+sMsc1pshPjym4i1DUlLbgLofGc
1kWQJGvFjgFpSFZ3xQDOHA4VoSgrn+PcI4oHslwpp786fikuI9Wlh4wA0y+F689PQdxrf2eyBJ4a
VHdfRaPHh951pwtZYnOcaCmuQRg8qsxQT5zt2w0MIKR3RRhQyFq4FWxtFCeLwyx/p6udGcDWq2Jz
/grnH8KdGIv2CFTWh6yT+dg1yzkSz1OeofUj5goQEV1nDqoqv2IS6W7ccVwqSN1R+KXR7J/cuAGJ
ocqvrhsm0JUCjqwAjxrQUJ0OzjSh7qwSYgYcVwuMBdEWrXUqEIE0t5x+ATGaeA8HT+9wxQ0b7Mby
aoQrQZpPH91Ug2I1mXyMoobs75DvIAEZLWrosMUEibtOnGSOwOIxkqJ+InxL3Rejc5O45NBPNkkw
Y9xanFIt/77yEW4UPafg6wZ+E4TmglNNnJgfY3vURycKHubY9j70QB72tXYhpLljVYc8HwAFDlgl
lgcfTJsMGTpL+6ZtgQN52AfcLWpq8zTWM4rmqOnMW6x/NUJ1H6pGpiyi3oUiPBnliNwSGoZpApDt
+BJJXRZrhPMuCKMSL9phaoqCMCfLKbYU2fU60Gb3YOPOfk5tlJxshaR69pmDsovj5MXgEViH+il7
0Wzvx7Ho+3Nnmy+L5O5K0p1G6jZq6a19IsFOQIayzUBT8n4KDec46cy6zS2v+zaQy/kyhXHdvOrO
LIZbsh+imHPEnF/ERY5GsVEf7WmObpPEwjPsAZxiHopepYMtXcBzGHxPXfatMK6V6rxtaxN9gPuo
/Fp0oz41C3SNKFDk0Wk3PBMtEW1iOPg3oQzda3oDMUqpinDOlYkz+uwbUX5lRni3NwCTjVvivNyN
7/Tjlo/LXw2Opy/RUFUvdKBxBdfyMeqleZmb6qljS9yidnY3bWY+W8TcZmPWnozJdT6OI+IhnrlJ
IR5trW1kEFHSxhzhBM2Hq95Xh6Cn5ZP7doeFB+jeyq+ldk5j0jlcYcD5LnGISYql3aPPm4yz53Cr
mCAxyzGoD3ZhfYjQsK3iwkNQZ3NIp4W0SFrRQlmoHFgLoVglmmNdLEIsVpxjSVJFdWbtYAKZemXb
UtwGsePdBPh87mvl4ERRELK4ngTC9KxJ+eyGq1oh0sbo9OiZDfIphfzJElquEUK65K+V5T3+4KGC
+pkVO5v4jo22C9IO5GL+Rp7m4jpBxHdTaiV2UI6nB1Op4Ti1YknQ4wcHwFdXrEDDIdVt2m66MrwV
nTnsZdUn/KftyCMkuOYucUukkQDARkaKVUpnZKyty55YrlucgBzkIu8CVGJwqnM6uGZbRHiwy/4p
6RMaJiTwMXMKKCj0ED8OWBXRSGqcb00rLj1Z6oM2cbM5YRLs6DbyPRC/NpKoUpr4OAO/99RuyhNi
H3FGA6LWbrND/cjuWCSYQPGKFXuJJfIJu4axGqRW9/DvfOKtmyijwWKBF8vadNMsoBOE5itTK+su
wXTbrsDEw5CHgHCsncmhQZNM/VErB+GhbWuAjKynwDKJkV77rDdfsqb3vtHqHLdp7rnzIQm74rP0
/eYQqjDaFktpBUJOgVab6B2h5KzXdIg9OLENQdTVgIu0D/qrUVr2JpqKbg01ZyBr2rePeVYO57kN
pHhkf8uvuqoQYBwhvZc3WZeKdZu7oMtKHXt3mFrEvHaNcHFFZpQF1eh8yi3bjHfooxHDDya1YO5Z
+XXMJhsPhT6hEG+3oABCjf0zQHlHGXBlAwVn5Z1E/BGrAratWdC8Je7jOYbmfzdHYwbCPU52Td5P
J7d13XNTJY2iUdYYxNq4qFDrojtqq5n2QZXqG8vt2odkLJHhNkcZzHrThHZzXbZ1+5msQHolXaMu
gblEexUHTxRq446WzGbwlXNLywprrjvkOeR7XcYFssd5tHZpOM+ESToK+wuzAkS0pe3Nd70w5Sed
lwVT+9AuwGJAwmA8jj+gEoD0cgAJuIvxCN4Y4TRfG7T3U2xGqdt/QslHQ3qqiKRRae9E9r40WNwu
Iu3tm0T4d7VVfJCi0MmxKho/OonKfO3GUF5p0DvoAbgXLvIR8S6xu1O+RTmeILRFp2F+SEv+pEYo
+VV0UyM+3LlIfxQES4yAH+YEgoEjVBD7N7Etmxt2v4uuZAcd/2Sm8X7uFZqEXSGuFIxaLcd5PyQk
3xscRUxd6yvlXIyCk6ibJvbDPPntl1BZfzrRez+SInMHxQtiFOGbDqXCu8EXHLsJCVhbH6pShSfw
DWQBsjC/EttHpotd95/Je3CcczwEvbhQzFMj8g4tIymvcGkWrHw82Ft6nY66LtVgnUvDm+Wlsq3w
aUi6cDvkAEpXzlxFlG2lh8MhNkXIgd7p5nvbMyK1bXSuDmnfU2Zilnut3WHs7mH8AhuZOwsI87ry
EN29zJwnwPAFmgNbHLmCWj/mLJKzYjyUvmBgWkztF26Z6lswD9W9CFH1rrpmsUN5timfzdIh9Cbm
bGQsa6fJAYtm3+1MEEG7C4nvI9YyrhXc2pLLcWppeXuVWJ6GNxnUz29n4dJrrPNP7Zub7wOrn2fr
74ePDB5dz6FTAz7DpDmzDPN+6obkVMhMGzBjuHR9OWmmkFporBYc137/Qssv+nle9vZCpIhQBiCL
t9/fXYHiBNcUvBB+NL5iGeBEZSTD98Oz57y2acDZOq41h5CZXfZPxvh/fHUGukGIk9JBT4UX/NfL
lCjufLwr+J0zaT9440g3u0kn6sdCHWpNTgY2BZ9DgDGWHNt+f+kWySvvrh1BqG0GoW35IvzDtY+Z
awBmU/WhtbBCroYx7p0r4uHshyprOTYjfuDiB2eqjx0OfwYsquoXe2zsF+gOtPV9RPs3v//P+P3e
W+rM/97e/JC2n2u667+EF9KQXJqE/+pvBh6SPJqb6GvwQgQIUv67vxna/4TaQkYhpdmi41vush+K
HPS+3PXAH/kXm+4jv/Bf/U0HiGPICshN+XaP8Fp/QZHz6yLucIu7PnRt1lR+m/UHJTCd1SSH6eEd
Kd4R9pYIVVwLie88TXR2OkU78fc39797Qd/2TND9rolYZllgfl5AuGppy9I9CtcONpBr0j0MWgQj
RdAc4qn9swXr103j+wX6iOBMEh8FDeZ3GsYw8+aWE6hz9OvEe81CXkBkmfXQuvS6fn9pvy4aby/F
V8137SIAYot6d2nE4dLvzS3nmJej+wrYiiFzN/MAe/TJzh0OrCc/hxzL3Fzf/f6l/81VfueEIkSh
12Atn/pPn+rY5IzeDOUcW5tuA3HkrJPEz+J7GWJ2lN+/2Lv16e1CuQNBA9ABDTz0Nb++mq6LtoR8
7hzH2uOFfKlopY2ZyYYwdD59o0pkMrkErEgrbFLJ0H4kQKXA8Fakxtq0q78mVlnekEdn3kOnQJwV
wqV3uxIUQiBTceQcg9Hhct/aVqaRp/v/42tx2icVi1uYG+fdDRVnwsRgNDlH0Y7WuXeM9ovflfqu
z+w/24WWz/F/9sDvl8Xux6TDN93AfF/wpJ1UxPb1znGIkm/f22B2afzJt/nHWwcSLCOU5TO0Fqnv
r18m+TSO39mFcyTpuD5mwcDWEnjSWFsztIc/29p+lcF8vyRBw8emCOIjfC+WCqL/Yu/MettGmjX8
V4K5p8B9OcB8wPEeO3ESZxvnRmAshaREcd9//fc0STuS7HgywwARDg7vZuQ0yWZ3VXXVW++rKVWH
esHVSg3wZFrFPSn4kXbsc3d2ujZcWMHZpKDIaHwqoEarENb4xyuY3B1mTxZbVQfKtPvSc5UwZm6u
9asGAtVLDX1KCdYsB2iRlLNCU4doY71WcfNtV8Jg0W9ecq7BORYku3j+aZ76AkidkdwUX9qS91bU
OnTMZgMJzVVO9eeGkld91Kf+9SRzTv/5rYg/kTEj26A9CqGbxM7izEq1q8Bgep2+5iGFotnDFsng
52+2a+ox34C5COMcHc8CMdn+8k3gV0MvIpEu6SQj9pUQur6NtDC57foUMNAT+2/Wcg8H/75jxC2B
q4GZN9Go4wM/itvWHag59KwuZSjQzqkFkIXNs5yWCDQkb4KcLg/Y+rvmrW+v6IL3yCxvmoJ8tRSB
AyOvhDyB6HDpLQhUucTkbadSdZj7EnWUgIbfv5kkapM7uxxErQnBvZDi4UBFGbTXwduy3bR8rACe
a/plHsob+sRAMsSBKZ15Sr4u4bjYtI13HJIGjMnUrpLWPFUY7B24IgpI5G95RtIg2N45GmmLDuDm
olHXLF0wl+wrNZWwvBCEKNABKTXRouI5upv6dnMTmiT15RX/LANI+9Ii4ZmRKFIpd6ir9LaorPiK
ZBLyNysm8IikbvsWvkcpO6Wfgepi50vAopx5qlwouSFksy0o7082jg9VQJjBWXEEtZ6GTmiUcg+b
me4VftJUsEXqlQ4QBp40KmN+zApJdCW5beH3QV1vTr/yZU1OlkKit8lO2kyJ/Ms1QLAF/FjprZVE
0E8imkVQTibxraQWEvUcouHgi9I6fDKr00xYlGqU7j6hAs7aK9amu0asqAMipBpuqzj5Ygixzaoy
3E27Vu+Sbq5eUChMbzITRTfy2hAlBB78xJQhKnSbkb+Fr7ql2CWRYL3SG2o1aJhJx1qjM6PzYP6p
1dXgfK5p+SLL6T2VYlX5ANyD+XHIiN+Q9u0+qSAVF4mj8536viulyfLFeuOpAgjIWbTL56RG7TZz
PpVJy1/RZIuq0DxilM2qVehNYt70UuYQ0ns5CBLsM5pUQ43anJ+txEEAOH9rWaxs3SfTeLSJ2s66
hDonu5BWVvMWSQnnlUyh5GaNjlFDElqS0BSGRPQ6DWCWQydONlyLfnFAyatVUhxT/G4h55LnlnmZ
CHspodQL8ZheAe5TqT6nx0Ag15CHFPhFM4a4iRXstQhRd7Zy7Usb+B1aY0PlbB7bgEooGIga6Ro5
2yMl0ljL1Yp2aLpKGNYuABU3kkbdW7HxRQX0voIqD78MCtKgRJpo4HA6KwQUowQbw0VPyHBNn14H
TkMZMoFGq2TvPa1TLzoodKwT1TP1L1FVRR9sOtlf0/4cnqSg3pSjlQTr3RnQ0ewyCGP6zEJR5szD
pqEQ28G+Iedz80MYdgFKjSYwwiM0TttrGyg4new+LfebteOgW5RDAWZIOinNrv2wBmBNXhNxBdLL
NHBHrEnIK2BOf1ckOY3hq3m5WcZGVnyz9S5+SWtXee2YBrQtpNdpXCvXWKbjDlHG01pOyLsVUpv8
BVoxy89yozXvaCqDYQkE+Sv0kjPvjHOtBflnmZDRBX0Eg2wZX0NtDNNb1OX+F0+TILmKi+Q1fLNk
o6J2fqW0hZWe23lt3iYBqsAQL3df6MqLLzV9QyK+qfXuC4mq9Smksx05lYrPaMO5gGRhHX1ZUfkq
IAwhr0sO3ToXwSj5iibN0UrINtJpSgwotHU2Zxub3DiGCRUJIHM35TqXXka0Sr9cZQhHtEbZLuEa
qGHLDSQI2OPNX8G6Qmq3jaDoiAJkqFKYN6F9cOFuZ38EnXQyR9X5uKwy5WyTxAxkS9cCS4n5hzSU
OlAGv8iJaYVQShyvU9AeKI+AHfFi8eWT+hWRLuBjTWmNkyioAGLCjbOmnciZn5A9919Cp5CjrQCQ
oItbGBI3cfmRDns4CaooPyuNNVx0vnwXwrb1lxMG6lHgKM1ZLsHYU4Y8h4Om7zu8UgcRLub9lamn
NeIzMl/U8tTVK3gLordyUSaIihQsagnR+sJt5yAGJMCFNBzlnBhOYyBeqyuzmRNgA7ig8I21LRZe
JmOQ4g4EQit3LFm5qByqjCVld7tsDPkU4BmEcEWcyuj+WnOK4aohxXTH681bgHHSsdWS1ShyB39s
lwbcXjAagS3JQjGa0iSQ7AYFJghrLHQv6PuUGs5ROTx/CLpUnfKhSnS2fukbkBM3qINdGMo6uU0S
lu1xbFWUqddhFN6qceoRz/llDRgtVmOB7M7RtTBWvp18a5NKhw7VQiklBCRxGq30ermx69SDkkIy
PqMEDrmj7+QXwFHp2IoaLyiPAEj4X/OqcFeJoZ0aOlqKx6gOpflfcBmU0ntUymjitFXfvq6gmTg2
YSc49es6hf3X7M5aO0o+do4HwwfKZfXHysg2N6aXfFNDmEPBOr8BhltcYFdRIVEdFF50SncLr/C9
RRcE9XuvtPhy7PjVaVqtPbRQPbTqjio/EKz8YW5dImuTxydNDScBOh3Y8eN1mXv1BWrd8pWexu3r
NC+0GxPFIITZNxBvHpl8BYCs5BM+AW5oEJJTCticSLS+AQMRvkmp+d1sAjs9zmIlv6M5PITTrtO+
xo5ZXRVmAj2mMVcD2HptDUElH+qFuuxqCstpiLlANhQaHFu/bOvq6xy6g/d14a3fKWWJllPgGV/W
tYkobEYRBF8p1NtTsvhwSrfBa2Cw2qXk1A4EipWXu2pQJ1fkNJ3TiNT3Fc1HEq11Rb7JgBS2AaXp
qIS5QFHV+VGg07cLu2SkfTDhMruoIkQCksCfv5LbsntX+HAOOpVX35ZhkZancp7rwWUTNI1xbMcy
7Lv2HH7Ra7OR6+Tc8cscGs1IerWyuvgjPa9w2UlroAK0zFnymuZiu76u8fDflCrNX5dJUp2DDGmv
SKNtIL9yfICXMGJq4HVRrIJbVQmOEyILCd4kq3rnqVWNOPdqDoYwx+TdrptCQ4sgNF41gYoZpe7l
FMdpUkX1iQop5vyY8oH6urBa6I1bJ0UByw4tHYOoQDqsmuX8zJFS2IwST38JUxkgzNAEF1FawU0O
NdvHUmnzTzYgj9OqoS8bfgIKLTQZQc9C5RSK5ZUFeru2YKGZdz4MPPBYHRUyXTgIyMHnpTNVb6uO
cwoE+lZGbXMevFFl8F9yVtNjGBQApwMt1c5sScuozSSRgbiAZcBiqQZOfl6ydr8hLd98TmytuKuN
ubWoTdTAz+TELJEeCxUDAHocWkha2XQsoNeWAlPzuxaOoSL5ZvhQ5uWrDYIWHb2yl1rdQIUSxwhJ
+E2Qtkc65QJk8aBKk1DeOVVlc17AqEfM7nUt/KIyuDTIzcm521frEvJTqNSrv3yzjYFOed3qDfAP
Sz6ag596E0ESURzRaiS98yWNr0ZSXYG+LanDpvzUADCFbaw/1Px/LvRvc6FkybbOfydu4b4YQKLX
7mb55x+fW1SHI2+nNxGBcf7NmAmlB38mGxz+TfKhguFAfciEKorCT5AeaQ+SNfeJUNGaCB7Qxufp
ZA0FBvQ+ESrTB02ui8wPkqOCFOGfJEJ3cy2kIml1pt0JPgZV10mwikP61ilsXtYKEklpfV1uFl4e
QsHxdWs2nqic8OJbyZzHN9hL0WWNFm6ShhvYKwwn/Rel4wbVdeBA77l4/lb9yXrrGEwajPoMiCb6
qRyDmuBeRqGlESE0CJOpe8ErLYqsoMQQVBSMx+vU+JKvGs++g7DALuRzOVFzqaPyabRBdAkHRept
FlBE2GiYUHjwZcc6n2eefI6rLJcBAW+weVVmeg4ERMbTvAxzZzXPIEYAy0/VJp5/aNPijASPcZlD
M/N2lcYraKJX8zQqjtVI9SB5zkBrq5Up0QBTV5oDGiLcpP76PeVcr8roDoo4e57wEPQjBGZLjxtC
k5cZ9ZCPbROWV+E8ReKOhoOwPttg+bTNlYV0zIkBjcy1raCa+YWWDajdJW8D6K1Qs2MqW7BBwKGS
dFerAiqt9zWAOFrFtcpDOBsFVxhbmzl02lmQn//fshqj+ROb+rTvVH5XLrP2ZpnjZx+0gMWvfc/t
B8iqi6Bo/+kf3dcpnh5otCZ/Y4dsW6NctlOS6Z+pf5bnhghdHrlcYKk0BzIVG25WjR6v/vrjRRjT
8Tb8LFnGjGq2KYrNw8/YAm64NUc/moXnX3CYzuf/5rk3GKzty8WffyiKLNo+J82Ciqa06McmDTpc
TOv2LNhCLIzCE+qGw+8A43/LLNzFZVSIxYjixU6hDUP9c3OwN8LOSjBAMVgCUdBfvOP2HDisFMUG
+k9utr+GGx7QSrBwmj83Ce4C93xPT8JrPmwHXZlRA1QMDfqB/tpbCJY6s2gBHuhJfssK2Hv07/sA
ITvc6KRtAGUKbCl0dlBMfert4TxAe52ssvm71v8P357IZ3imu+Z/vGX8YFX/iSnk25pUflURp22v
fFG2pkdFU6GoGq7ftPt//PZUS6Z+e30m+ucFxGR4x71JEGEps2OQb6O+yDV4ngPa/gC+zKnuUNdm
hNU4PIiG7j/19lIA2Dd7IP/4PS7gmUVgTH19TZ/h5oH7QHbRX9jT7dcHpSEoBCnqU5MQ18FFAyxg
k/63SWZQOAHKsjS6DStdJrzYmQVnBv0LVDDM1GHOAt0BUycBlj26EKkdKjBfiWvPEyqKMyNPyzzp
lMvFdXBGESf2k0HR3p76Hg9o6szU8fc6XHVPzYINkRDlapAP41I4PMeo922c0zaEPgMAyIq//9R7
ZkGBwNGkJ1UUtg9uFdB9MjkqlGdkQkTwO/pG1vq2QbCdGdAUEwjw90PUYQWHPJ499ZDEURFj4Ahm
n2Ev7B0QCJOIHmiaJVDqrwNcC45NWDNtL8BISvaNc5L+5Cw4Qp1ThuNUHn8fgvIDipPAqtmTY2Xy
jfhAEH6j8d/bEY5CIAFLkGoLrCHXwR0W0elWJ4dLNmkBnUBAAJXEtecjHRu7yaGZY/UwC8PiO6S1
gHcjITppRxApEC4Rdxnj8WjPO9iwGtgWuF1lTJ4cnF0Au6lO3RG6zIonXBpt46O1AImpDeZWLJVh
LQxO6ZDWAsSGU9eCbszgieaYuLXitz2l6cxAVkPhCpFFfx2cXVBlMn1TdwR5FLYEc7AbJ1jmzJJh
cHtIoR1ctDji9SfZA51gEIZawH3jSt+bBaIlC0QcZ5TfnEzdi/q/p9KAwuqT7YE643TEycAa33LP
N1ikUyizaSCQDi1kVjnbTU0lsghs3h3O8TFAeOwUmBhBsTL+fnBhEjQf4uA/aStwfLToXbIezgWP
twLpNEyOOobMBzgLAAgnzoJu4hQcUVAenePeVnD0GagymK9Gwt8D8oka2Y2pPlEjpyhj8tlWQ5SI
adn2ibaIHEggkGEdfOIBLgKQABMXAbUFzYTOSe6JqpgIBtyeBZFaJEakG2KchYOLEjUWw/BQE2oM
cFLTckAv29P5JIpsGoUGosTvsTQW6IB2hGhfwIpNMos6HX1U2GjOevoMLbRCiCH7xpj+Vof0/hxj
Ju8FfYY1YK2D4umvPYugyOZMAcnjYBQO7/05zU78/mSSaEfROSV8Pwtt2wJFMcknoplo0cInroOb
BVJ9+vBQ/94WsAv0ngXZJgoSF4Hgziz0tSZxQB9N5sHNAjgp8dDTbIE2M20Kd6DM+k8tyrjbs0Cc
TB8YjcG0T/XXsPkOyyJMrzuq1B2hrBBF5v7anwVjRpgoM0/jufnwYgR0hCevBfLsGD2OjqN33IsR
LE6WxNIAJocNc3hZRbTelal2QQNkoYkuuHvruGcXLKoNIBpp8R29x+GtBR3LMNUuyFhHIFmo/gwf
e/8AydEKCCygrO9wpQOLlGhgnFp/FD6CgJE4gIxKf+1aR/YJAaXAbdxviYOLF5DOwJhN8hFiR9jI
IcBoM1xssW0f4ZCBHoDPoycdAtRD8hECWTRxFoAlmMjSOMaIxBRgt+1ZEJ4SrLMsQDr9NUz7Ac2C
OE0Pae8JUROxM0ZWJygY3nLPOoodgfUh3zBO+CG9P132k2NnAzAah0OUFIe9sOcjqcIiKCQau8dI
4uCixqeEJP8FbFkjuUpcOJqEvVno0Wr3lNfC+BzSKiCvOASxk3YBEH04C4z9QBHACn3zkDWNDuPw
0igEslONAMkkgJqG6HN50giQUkN6ijY7+mX66/BMIeWRqQ5BFF4VBM7Jqw2zsO8QmCVSruhWjb8f
3iwMTVGTggM4oHh71vwPMIsg9YBsQsqHpRim6edDpJ+wGg8dIcd+EC5ORS9IsMyf6gb50R/cN0E8
/n1sgBBdDgLfv/OHojVkuPdQtxL//Z+dilZv87Z+vLeB/X3Gfz6+4ONb79zr/q3u/+dFsMxcxEXg
NhatL+NjDq1v/xu6X92Nu936xh5k5X1/kj//2HnOrbDobwbO13vjinr15HGzoIuj3YF7OPX0gddu
lLv5/SP2zSr01N3/95PNPQ9b4bmpOHbD4Fuc7WlJDKDPqU9Nb1ucuYv4/inFUw+tBdNHjqLlXRHc
lcXO4H3XxtTBT5ahW7vZcnvkoT1q8sg/p2Lb74R//0kR5MmCxe4qHBqbpj7/+TJGd2R3ZEJDnM/U
kS+Y8SC4H6df3lpP3Dd14JcL199ZgMoAYp08bhgGURzs7sgBHzp56GgRuHtWZMBcTh45rnc/Hlqe
nHmmDnv12DYNiLjJAzNAebdu7x+xXxcDzGzq0K/iMsgfTfMAZ5w69ms3iHash9B5/QXu5bULB4Ib
LbanY8QYTX/kPHfvIHZYFsXOmh7xK5PHD+78wHN3+wwHbMj0ofEFeVzsrGyV9AAHo+lj55Co50GS
7NimEc/xK0aPy2x/6F/y4MgZ79mQsdo69aGvl18zdy96Gjtlpg9dubt+i+yLqBBOH7h+ceFuktwP
dt36WHX6FeNfLrN8uWOpoDYSZYxfMfjrZRPc7bgxBhe1418x+C2iBPcjCQvL0KIINXnoOCv8F8du
FuMpdzfnUNn4NTc4cdf7e39Ilk8d/o0f7M74UImYPOw6JCLZPdWoQ2J78tDZ0ttv5e77GKcO/HYZ
RTmKhe7eMWEEO08d/saPF8sXL/NHvm3IdE8d/n1c/mAhjpCsX3ODxwtxzFFPHf4Ds7/M8+VOSKEN
+d/pYze7p8oRmTR13I+F69+bEGFTxkTt1GE/LbMNnm1n5CEFOnlkBP9+pKg48Tz22cXvRF6xuzVH
2MfU5/68zIsXn556+CE3Onn856jYp07Mj6mNnh35qUzTQ1r+cf7pnh/kqX+2m1wTf3EXLt3sP/8F
AAD//w==</cx:binary>
              </cx:geoCache>
            </cx:geography>
          </cx:layoutPr>
          <cx:valueColors>
            <cx:minColor>
              <a:schemeClr val="accent5"/>
            </cx:minColor>
            <cx:midColor>
              <a:schemeClr val="bg1"/>
            </cx:midColor>
            <cx:maxColor>
              <a:schemeClr val="accent4">
                <a:lumMod val="75000"/>
              </a:schemeClr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A$1" max="10" min="1" page="10" val="10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504824</xdr:colOff>
      <xdr:row>12</xdr:row>
      <xdr:rowOff>57150</xdr:rowOff>
    </xdr:from>
    <xdr:to>
      <xdr:col>22</xdr:col>
      <xdr:colOff>142875</xdr:colOff>
      <xdr:row>51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0874" y="2552700"/>
              <a:ext cx="11687176" cy="737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66675</xdr:colOff>
      <xdr:row>37</xdr:row>
      <xdr:rowOff>85725</xdr:rowOff>
    </xdr:from>
    <xdr:to>
      <xdr:col>10</xdr:col>
      <xdr:colOff>514350</xdr:colOff>
      <xdr:row>50</xdr:row>
      <xdr:rowOff>152401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76200</xdr:colOff>
      <xdr:row>28</xdr:row>
      <xdr:rowOff>180976</xdr:rowOff>
    </xdr:from>
    <xdr:to>
      <xdr:col>10</xdr:col>
      <xdr:colOff>476250</xdr:colOff>
      <xdr:row>37</xdr:row>
      <xdr:rowOff>104776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95250</xdr:colOff>
      <xdr:row>12</xdr:row>
      <xdr:rowOff>9525</xdr:rowOff>
    </xdr:from>
    <xdr:to>
      <xdr:col>10</xdr:col>
      <xdr:colOff>447675</xdr:colOff>
      <xdr:row>23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323850</xdr:colOff>
      <xdr:row>12</xdr:row>
      <xdr:rowOff>95250</xdr:rowOff>
    </xdr:from>
    <xdr:to>
      <xdr:col>3</xdr:col>
      <xdr:colOff>1057275</xdr:colOff>
      <xdr:row>53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561975</xdr:colOff>
      <xdr:row>0</xdr:row>
      <xdr:rowOff>152400</xdr:rowOff>
    </xdr:from>
    <xdr:to>
      <xdr:col>10</xdr:col>
      <xdr:colOff>180975</xdr:colOff>
      <xdr:row>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61975" y="152400"/>
          <a:ext cx="9315450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What do </a:t>
          </a:r>
          <a:r>
            <a:rPr lang="en-US" sz="2800" b="1">
              <a:solidFill>
                <a:schemeClr val="accent5"/>
              </a:solidFill>
            </a:rPr>
            <a:t>wage</a:t>
          </a:r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 and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2800" b="1" baseline="0">
              <a:solidFill>
                <a:schemeClr val="accent4"/>
              </a:solidFill>
            </a:rPr>
            <a:t>employment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figures look like by industry?</a:t>
          </a:r>
          <a:endParaRPr lang="el-GR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1114425</xdr:colOff>
      <xdr:row>9</xdr:row>
      <xdr:rowOff>128587</xdr:rowOff>
    </xdr:from>
    <xdr:to>
      <xdr:col>2</xdr:col>
      <xdr:colOff>104775</xdr:colOff>
      <xdr:row>11</xdr:row>
      <xdr:rowOff>71437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24025" y="2052637"/>
          <a:ext cx="214312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Average Annual </a:t>
          </a:r>
          <a:r>
            <a:rPr lang="en-US" sz="1600" b="1">
              <a:solidFill>
                <a:schemeClr val="accent5"/>
              </a:solidFill>
            </a:rPr>
            <a:t>Wage</a:t>
          </a:r>
          <a:endParaRPr lang="el-GR" sz="1600" b="1">
            <a:solidFill>
              <a:schemeClr val="accent5"/>
            </a:solidFill>
          </a:endParaRPr>
        </a:p>
      </xdr:txBody>
    </xdr:sp>
    <xdr:clientData/>
  </xdr:twoCellAnchor>
  <xdr:twoCellAnchor>
    <xdr:from>
      <xdr:col>5</xdr:col>
      <xdr:colOff>352425</xdr:colOff>
      <xdr:row>9</xdr:row>
      <xdr:rowOff>147637</xdr:rowOff>
    </xdr:from>
    <xdr:to>
      <xdr:col>9</xdr:col>
      <xdr:colOff>304800</xdr:colOff>
      <xdr:row>11</xdr:row>
      <xdr:rowOff>52387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000875" y="2071687"/>
          <a:ext cx="23907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Share of Total</a:t>
          </a:r>
          <a:r>
            <a:rPr lang="en-US" sz="1600" b="1" baseline="0"/>
            <a:t> </a:t>
          </a:r>
          <a:r>
            <a:rPr lang="en-US" sz="1600" b="1" baseline="0">
              <a:solidFill>
                <a:schemeClr val="accent4"/>
              </a:solidFill>
            </a:rPr>
            <a:t>Employees</a:t>
          </a:r>
          <a:endParaRPr lang="el-GR" sz="1600" b="1">
            <a:solidFill>
              <a:schemeClr val="accent4"/>
            </a:solidFill>
          </a:endParaRPr>
        </a:p>
      </xdr:txBody>
    </xdr:sp>
    <xdr:clientData/>
  </xdr:twoCellAnchor>
  <xdr:twoCellAnchor>
    <xdr:from>
      <xdr:col>5</xdr:col>
      <xdr:colOff>419100</xdr:colOff>
      <xdr:row>25</xdr:row>
      <xdr:rowOff>104775</xdr:rowOff>
    </xdr:from>
    <xdr:to>
      <xdr:col>9</xdr:col>
      <xdr:colOff>419100</xdr:colOff>
      <xdr:row>27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067550" y="5153025"/>
          <a:ext cx="24384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Wage &amp; Employee Trends</a:t>
          </a:r>
          <a:endParaRPr lang="el-GR" sz="1600" b="1"/>
        </a:p>
      </xdr:txBody>
    </xdr:sp>
    <xdr:clientData/>
  </xdr:twoCellAnchor>
  <xdr:twoCellAnchor>
    <xdr:from>
      <xdr:col>7</xdr:col>
      <xdr:colOff>514350</xdr:colOff>
      <xdr:row>14</xdr:row>
      <xdr:rowOff>38100</xdr:rowOff>
    </xdr:from>
    <xdr:to>
      <xdr:col>10</xdr:col>
      <xdr:colOff>400050</xdr:colOff>
      <xdr:row>19</xdr:row>
      <xdr:rowOff>123825</xdr:rowOff>
    </xdr:to>
    <xdr:sp macro="" textlink="'Data Prep'!I19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8382000" y="2990850"/>
          <a:ext cx="1714500" cy="1038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4D69C3-F0CA-404A-93C5-3D5CBE36179F}" type="TxLink">
            <a:rPr lang="en-US" sz="6000" b="1" i="0" u="none" strike="noStrike">
              <a:solidFill>
                <a:schemeClr val="accent4"/>
              </a:solidFill>
              <a:latin typeface="Calibri"/>
              <a:ea typeface="Calibri"/>
              <a:cs typeface="Calibri"/>
            </a:rPr>
            <a:pPr algn="ctr"/>
            <a:t>2%</a:t>
          </a:fld>
          <a:endParaRPr lang="el-GR" sz="6000" b="1">
            <a:solidFill>
              <a:schemeClr val="accent4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3</xdr:col>
          <xdr:colOff>28575</xdr:colOff>
          <xdr:row>6</xdr:row>
          <xdr:rowOff>0</xdr:rowOff>
        </xdr:to>
        <xdr:sp macro="" textlink="">
          <xdr:nvSpPr>
            <xdr:cNvPr id="3082" name="Spinner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9</xdr:row>
          <xdr:rowOff>152400</xdr:rowOff>
        </xdr:from>
        <xdr:to>
          <xdr:col>17</xdr:col>
          <xdr:colOff>38100</xdr:colOff>
          <xdr:row>11</xdr:row>
          <xdr:rowOff>38100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l-G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1771650</xdr:colOff>
          <xdr:row>9</xdr:row>
          <xdr:rowOff>152400</xdr:rowOff>
        </xdr:from>
        <xdr:to>
          <xdr:col>19</xdr:col>
          <xdr:colOff>781050</xdr:colOff>
          <xdr:row>11</xdr:row>
          <xdr:rowOff>38100</xdr:rowOff>
        </xdr:to>
        <xdr:sp macro="" textlink="">
          <xdr:nvSpPr>
            <xdr:cNvPr id="3085" name="Option Butto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l-G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1.000</a:t>
              </a:r>
            </a:p>
          </xdr:txBody>
        </xdr:sp>
        <xdr:clientData/>
      </xdr:twoCellAnchor>
    </mc:Choice>
    <mc:Fallback/>
  </mc:AlternateContent>
  <xdr:twoCellAnchor>
    <xdr:from>
      <xdr:col>15</xdr:col>
      <xdr:colOff>190500</xdr:colOff>
      <xdr:row>9</xdr:row>
      <xdr:rowOff>109537</xdr:rowOff>
    </xdr:from>
    <xdr:to>
      <xdr:col>17</xdr:col>
      <xdr:colOff>590550</xdr:colOff>
      <xdr:row>11</xdr:row>
      <xdr:rowOff>14287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2934950" y="2033587"/>
          <a:ext cx="161925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/>
            <a:t>Average </a:t>
          </a:r>
          <a:r>
            <a:rPr lang="en-US" sz="1600" b="1">
              <a:solidFill>
                <a:schemeClr val="accent5"/>
              </a:solidFill>
            </a:rPr>
            <a:t>Wages</a:t>
          </a:r>
          <a:endParaRPr lang="el-GR" sz="1600" b="1">
            <a:solidFill>
              <a:schemeClr val="accent5"/>
            </a:solidFill>
          </a:endParaRPr>
        </a:p>
      </xdr:txBody>
    </xdr:sp>
    <xdr:clientData/>
  </xdr:twoCellAnchor>
  <xdr:twoCellAnchor>
    <xdr:from>
      <xdr:col>18</xdr:col>
      <xdr:colOff>1981200</xdr:colOff>
      <xdr:row>9</xdr:row>
      <xdr:rowOff>119062</xdr:rowOff>
    </xdr:from>
    <xdr:to>
      <xdr:col>19</xdr:col>
      <xdr:colOff>1562100</xdr:colOff>
      <xdr:row>11</xdr:row>
      <xdr:rowOff>23812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8335625" y="2043112"/>
          <a:ext cx="19716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4"/>
              </a:solidFill>
            </a:rPr>
            <a:t>Employees</a:t>
          </a:r>
          <a:r>
            <a:rPr lang="en-US" sz="1600" b="1"/>
            <a:t> per 1.000</a:t>
          </a:r>
          <a:endParaRPr lang="el-GR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workbookViewId="0">
      <selection activeCell="G1902" sqref="G1902"/>
    </sheetView>
  </sheetViews>
  <sheetFormatPr defaultRowHeight="15" x14ac:dyDescent="0.25"/>
  <cols>
    <col min="1" max="1" width="9.140625" customWidth="1"/>
    <col min="2" max="2" width="21.7109375" customWidth="1"/>
    <col min="3" max="3" width="18.7109375" customWidth="1"/>
    <col min="4" max="4" width="14.5703125" customWidth="1"/>
    <col min="5" max="5" width="10.7109375" customWidth="1"/>
    <col min="6" max="6" width="16.7109375" customWidth="1"/>
    <col min="7" max="18" width="9.140625" customWidth="1"/>
  </cols>
  <sheetData>
    <row r="1" spans="1:6" x14ac:dyDescent="0.25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25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25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25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25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25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25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25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25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25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25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25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25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25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25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25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25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25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25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25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25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25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25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25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25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25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25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25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25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25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25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25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25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25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25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25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25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25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25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25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25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25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25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25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25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25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25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25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25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25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25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25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25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25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25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25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25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25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25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25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25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25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25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25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25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25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25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25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25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25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25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25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25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25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25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25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25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25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25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25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25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25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25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25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25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25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25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25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25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25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25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25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25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25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25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25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25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25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25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25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25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25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25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25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25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25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25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25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25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25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25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25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25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25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25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25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25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25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25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25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25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25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25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25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25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25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25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25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25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25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25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25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25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25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25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25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25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25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25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25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25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25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25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25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25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25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25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25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25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25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25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25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25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25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25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25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25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25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25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25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25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25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25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25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25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25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25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25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25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25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25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25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25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25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25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25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25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25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25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25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25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25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25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25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25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25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25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25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25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25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25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25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25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25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25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25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25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25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25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25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25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25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25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25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25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25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25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25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25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25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25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25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25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25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25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25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25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25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25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25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25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25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25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25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25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25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25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25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25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25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25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25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25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25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25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25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25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25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25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25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25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25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25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25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25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25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25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25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25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25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25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25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25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25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25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25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25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25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25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25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25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25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25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25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25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25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25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25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25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25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25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25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25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25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25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25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25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25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25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25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25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25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25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25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25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25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25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25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25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25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25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25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25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25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25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25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25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25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25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25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25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25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25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25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25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25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25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25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25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25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25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25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25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25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25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25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25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25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25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25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25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25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25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25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25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25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25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25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25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25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25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25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25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25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25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25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25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25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25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25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25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25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25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25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25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25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25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25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25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25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25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25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25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25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25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25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25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25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25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25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25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25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25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25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25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25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25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25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25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25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25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25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25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25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25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25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25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25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25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25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25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25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25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25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25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25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25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25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25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25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25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25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25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25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25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25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25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25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25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25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25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25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25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25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25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25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25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25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25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25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25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25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25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25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25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25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25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25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25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25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25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25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25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25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25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25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25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25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25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25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25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25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25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25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25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25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25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25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25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25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25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25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25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25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25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25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25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25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25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25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25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25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25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25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25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25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25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25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25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25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25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25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25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25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25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25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25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25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25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25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25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25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25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25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25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25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25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25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25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25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25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25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25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25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25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25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25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25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25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25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25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25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25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25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25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25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25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25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25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25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25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25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25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25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25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25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25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25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25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25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25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25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25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25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25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25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25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25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25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25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25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25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25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25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25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25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25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25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25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25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25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25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25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25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25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25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25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25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25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25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25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25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25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25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25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25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25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25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25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25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25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25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25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25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25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25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25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25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25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25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25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25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25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25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25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25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25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25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25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25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25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25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25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25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25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25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25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25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25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25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25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25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25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25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25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25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25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25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25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25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25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25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25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25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25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25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25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25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25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25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25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25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25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25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25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25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25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25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25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25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25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25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25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25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25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25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25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25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25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25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25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25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25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25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25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25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25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25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25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25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25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25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25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25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25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25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25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25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25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25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25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25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25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25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25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25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25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25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25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25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25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25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25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25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25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25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25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25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25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25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25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25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25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25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25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25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25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25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25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25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25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25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25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25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25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25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25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25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25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25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25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25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25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25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25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25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25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25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25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25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25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25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25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25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25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25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25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25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25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25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25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25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25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25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25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25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25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25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25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25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25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25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25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25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25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25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25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25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25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25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25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25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25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25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25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25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25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25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25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25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25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25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25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25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25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25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25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25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25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25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25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25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25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25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25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25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25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25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25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25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25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25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25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25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25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25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25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25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25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25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25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25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25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25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25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25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25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25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25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25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25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25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25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25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25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25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25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25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25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25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25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25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25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25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25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25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25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25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25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25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25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25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25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25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25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25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25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25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25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25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25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25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25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25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25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25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25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25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25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25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25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25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25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25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25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25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25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25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25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25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25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25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25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25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25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25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25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25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25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25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25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25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25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25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25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25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25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25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25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25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25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25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25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25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25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25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25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25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25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25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25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25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25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25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25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25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25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25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25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25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25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25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25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25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25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25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25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25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25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25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25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25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25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25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25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25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25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25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25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25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25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25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25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25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25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25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25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25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25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25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25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25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25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25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25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25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25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25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25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25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25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25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25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25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25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25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25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25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25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25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25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25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25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25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25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25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25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25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25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25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25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25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25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25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25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25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25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25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25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25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25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25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25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25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25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25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25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25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25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25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25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25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25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25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25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25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25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25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25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25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25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25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25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25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25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25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25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25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25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25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25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25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25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25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25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25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25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25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25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25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25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25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25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25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25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25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25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25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25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25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25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25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25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25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25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25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25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25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25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25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25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25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25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25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25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25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25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25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25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25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25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25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25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25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25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25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25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25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25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25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25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25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25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25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25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25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25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25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25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25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25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25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25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25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25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25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25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25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25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25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25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25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25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25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25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25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25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25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25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25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25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25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25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25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25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25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25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25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25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25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25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25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25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25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25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25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25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25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25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25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25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25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25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25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25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25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25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25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25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25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25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25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25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25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25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25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25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25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25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25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25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25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25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25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25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25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25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25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25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25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25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25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25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25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25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25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25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25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25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25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25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25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25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25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25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25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25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25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25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25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25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25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25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25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25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25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25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25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25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25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25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25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25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25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25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25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25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25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25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25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25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25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25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25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25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25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25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25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25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25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25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25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25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25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25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25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25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25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25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25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25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25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25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25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25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25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25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25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25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25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25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25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25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25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25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25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25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25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25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25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25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25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25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25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25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25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25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25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25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25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25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25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25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25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25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25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25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25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25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25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25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25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25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25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25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25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25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25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25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25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25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25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25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25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25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25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25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25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25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25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25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25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25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25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25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25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25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25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25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25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25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25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25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25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25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25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25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25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25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25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25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25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25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25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25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25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25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25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25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25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25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25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25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25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25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25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25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25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25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25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25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25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25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25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25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25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25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25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25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25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25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25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25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25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25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25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25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25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25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25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25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25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25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25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25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25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25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25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25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25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25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25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25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25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25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25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25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25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25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25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25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25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25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25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25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25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25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25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25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25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25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25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25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25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25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25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25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25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25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25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25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25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25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25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25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25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25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25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25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25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25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25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25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25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25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25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25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25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25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25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25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25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25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25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25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25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25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25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25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25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25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25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25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25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25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25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25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25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25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25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25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25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25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25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25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25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25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25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25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25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25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25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25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25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25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25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25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25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25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25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25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25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25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25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25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25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25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25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25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25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25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25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25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25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25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25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25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25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25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25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25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25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25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25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25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25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25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25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25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25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25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25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25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25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25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25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25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25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25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25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25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25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25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25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25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25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25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25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25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25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25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25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25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25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25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25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25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25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25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25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25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25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25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25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25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25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25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25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25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25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25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25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25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25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25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25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25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25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25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25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25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25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25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25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25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25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25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25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25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25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25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25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25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25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25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25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25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25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25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25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25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25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25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25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25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25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25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25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25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25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25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25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25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25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25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25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25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25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25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25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25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25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25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25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25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25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25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25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25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25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25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25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25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25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25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25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25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25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25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25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25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25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25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25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25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25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25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25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25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25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25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25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25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25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25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25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25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25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25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25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25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25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25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25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25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25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25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25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25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25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25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25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25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25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25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25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25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25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25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25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25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25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25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25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25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25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25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25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25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25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25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25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25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25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25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25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25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25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25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25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25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25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25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25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25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25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25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25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25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25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25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25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25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25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25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25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25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25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25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25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25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25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25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25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25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25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25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25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25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25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25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25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25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25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25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25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25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25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25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25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25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25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25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25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25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25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25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25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25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25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25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25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25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25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25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25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25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25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25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25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25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25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25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25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25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25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25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25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25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25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25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25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25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25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25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25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25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25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25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25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25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25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25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25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25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25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25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25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25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25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25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25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25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25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25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25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25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25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25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25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25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25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25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25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25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25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25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25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25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25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25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25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25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25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25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25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25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25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25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25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25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25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25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25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25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25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25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25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25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25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25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25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25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25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25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25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25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25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25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25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25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25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25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25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25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25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25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25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25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25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25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25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25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25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25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25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25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25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25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25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25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25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25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25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25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25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25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25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25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25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25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25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25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25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25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25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25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25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25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25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25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25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25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25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25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25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25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25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25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25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25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25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25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25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25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25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25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25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25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25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25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25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25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25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25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25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25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25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25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25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25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25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25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25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25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25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25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25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25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25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25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25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25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25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25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25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25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25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25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25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25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25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25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25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25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25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25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25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25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25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25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25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25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25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25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25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25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25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25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25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25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25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25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25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25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25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25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25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25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25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25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25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25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25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25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25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25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25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25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25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25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25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25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25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25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25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25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25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25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25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25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25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25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25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25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25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25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25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25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25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25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25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25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25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25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25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25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25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25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25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25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25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25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25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25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25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25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25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25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25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25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25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25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25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25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25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25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25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25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25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25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25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25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25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25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25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25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25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25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25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25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25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25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25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25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25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25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25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25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25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25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25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25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25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25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25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25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25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25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autoFilter ref="A1:F1919" xr:uid="{F7E52F2C-F2D3-4F44-815D-AF8D50250408}"/>
  <customSheetViews>
    <customSheetView guid="{A1F01C08-243B-48FC-94A8-F102AEB1706D}">
      <selection activeCell="F150" sqref="F150"/>
      <pageMargins left="0.7" right="0.7" top="0.75" bottom="0.75" header="0.3" footer="0.3"/>
      <pageSetup orientation="portrait" r:id="rId1"/>
    </customSheetView>
    <customSheetView guid="{948164EF-B902-4A6C-8E3C-A935061C5153}" state="hidden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2377-C1D1-426F-98EE-BDCFDB6710C7}">
  <dimension ref="A1:T50"/>
  <sheetViews>
    <sheetView workbookViewId="0">
      <selection activeCell="D15" sqref="D15"/>
    </sheetView>
  </sheetViews>
  <sheetFormatPr defaultRowHeight="15" x14ac:dyDescent="0.25"/>
  <cols>
    <col min="1" max="1" width="21.7109375" bestFit="1" customWidth="1"/>
    <col min="2" max="2" width="25" bestFit="1" customWidth="1"/>
    <col min="4" max="4" width="23.7109375" bestFit="1" customWidth="1"/>
    <col min="5" max="6" width="16.7109375" customWidth="1"/>
    <col min="8" max="8" width="23.28515625" customWidth="1"/>
    <col min="9" max="9" width="12.85546875" customWidth="1"/>
    <col min="11" max="11" width="10.5703125" customWidth="1"/>
    <col min="12" max="12" width="9.85546875" bestFit="1" customWidth="1"/>
    <col min="13" max="13" width="10.7109375" bestFit="1" customWidth="1"/>
    <col min="15" max="15" width="15.5703125" customWidth="1"/>
    <col min="16" max="16" width="15.28515625" customWidth="1"/>
    <col min="17" max="17" width="10.7109375" bestFit="1" customWidth="1"/>
    <col min="18" max="18" width="25" bestFit="1" customWidth="1"/>
    <col min="19" max="19" width="14.85546875" bestFit="1" customWidth="1"/>
    <col min="20" max="20" width="25" bestFit="1" customWidth="1"/>
  </cols>
  <sheetData>
    <row r="1" spans="1:20" x14ac:dyDescent="0.25">
      <c r="A1" s="10" t="s">
        <v>64</v>
      </c>
      <c r="B1" s="9"/>
      <c r="D1" s="11" t="s">
        <v>68</v>
      </c>
      <c r="E1" s="12"/>
      <c r="F1" s="12"/>
      <c r="H1" s="11" t="s">
        <v>69</v>
      </c>
      <c r="I1" s="12"/>
      <c r="K1" s="11" t="s">
        <v>72</v>
      </c>
      <c r="L1" s="11"/>
      <c r="M1" s="11"/>
      <c r="O1" s="11" t="s">
        <v>74</v>
      </c>
      <c r="P1" s="11"/>
      <c r="Q1" s="11"/>
      <c r="R1" s="11"/>
      <c r="S1" s="11"/>
      <c r="T1" s="11"/>
    </row>
    <row r="2" spans="1:20" x14ac:dyDescent="0.25">
      <c r="A2" s="7" t="s">
        <v>49</v>
      </c>
      <c r="B2" s="7" t="s">
        <v>65</v>
      </c>
      <c r="D2" s="6" t="s">
        <v>49</v>
      </c>
      <c r="E2" s="6" t="s">
        <v>63</v>
      </c>
      <c r="F2" s="6" t="s">
        <v>65</v>
      </c>
      <c r="H2" s="6" t="s">
        <v>49</v>
      </c>
      <c r="I2" s="6" t="s">
        <v>62</v>
      </c>
      <c r="K2" s="6" t="s">
        <v>50</v>
      </c>
      <c r="L2" s="6" t="s">
        <v>73</v>
      </c>
      <c r="M2" s="6" t="s">
        <v>62</v>
      </c>
      <c r="O2" s="6" t="s">
        <v>0</v>
      </c>
      <c r="P2" s="6" t="s">
        <v>62</v>
      </c>
      <c r="Q2" s="6" t="s">
        <v>75</v>
      </c>
      <c r="R2" s="6" t="s">
        <v>76</v>
      </c>
      <c r="S2" s="6" t="s">
        <v>77</v>
      </c>
      <c r="T2" s="6" t="str">
        <f>B18</f>
        <v>Average Wages</v>
      </c>
    </row>
    <row r="3" spans="1:20" x14ac:dyDescent="0.25">
      <c r="A3" t="s">
        <v>57</v>
      </c>
      <c r="B3" t="str">
        <f>Dashboard!B6</f>
        <v>Information</v>
      </c>
      <c r="D3" t="s">
        <v>53</v>
      </c>
      <c r="E3" s="13">
        <f>AVERAGEIFS(Data!F:F,Data!B:B,D3,Data!A:A,$B$15)</f>
        <v>93586.333333333328</v>
      </c>
      <c r="F3" s="13">
        <f>IF(D3=$B$3,E3,0)</f>
        <v>93586.333333333328</v>
      </c>
      <c r="H3" t="s">
        <v>54</v>
      </c>
      <c r="I3" s="1">
        <f>SUMIFS(Data!E:E,Data!B:B,H3,Data!A:A,'Data Prep'!$B$15)</f>
        <v>26277342</v>
      </c>
      <c r="K3">
        <v>2017</v>
      </c>
      <c r="L3" s="13">
        <f>AVERAGEIFS(Data!F:F,Data!B:B,'Data Prep'!$B$3,Data!A:A,'Data Prep'!K3)</f>
        <v>75580.708333333328</v>
      </c>
      <c r="M3" s="1">
        <f>SUMIFS(Data!E:E,Data!B:B,'Data Prep'!$B$3,Data!A:A,'Data Prep'!K3)</f>
        <v>2760656</v>
      </c>
      <c r="O3" t="s">
        <v>1</v>
      </c>
      <c r="P3" s="1">
        <f>SUMIFS(Data!E:E,Data!B:B,'Data Prep'!$B$3,Data!A:A,'Data Prep'!$B$15,Data!C:C,'Data Prep'!O3)</f>
        <v>19310</v>
      </c>
      <c r="Q3" s="1">
        <v>4887871</v>
      </c>
      <c r="R3" s="14">
        <f>P3/Q3*1000</f>
        <v>3.9505952591629363</v>
      </c>
      <c r="S3" s="15">
        <f>AVERAGEIFS(Data!F:F,Data!B:B,'Data Prep'!$B$3,Data!A:A,'Data Prep'!$B$15,Data!C:C,'Data Prep'!O3)</f>
        <v>69393</v>
      </c>
      <c r="T3" s="16">
        <f>IF($T$2=$S$2,-S3,R3)</f>
        <v>-69393</v>
      </c>
    </row>
    <row r="4" spans="1:20" x14ac:dyDescent="0.25">
      <c r="A4" t="s">
        <v>51</v>
      </c>
      <c r="D4" t="s">
        <v>56</v>
      </c>
      <c r="E4" s="13">
        <f>AVERAGEIFS(Data!F:F,Data!B:B,D4,Data!A:A,$B$15)</f>
        <v>90040.666666666672</v>
      </c>
      <c r="F4" s="13">
        <f t="shared" ref="F4:F12" si="0">IF(D4=$B$3,E4,0)</f>
        <v>0</v>
      </c>
      <c r="H4" t="s">
        <v>58</v>
      </c>
      <c r="I4" s="1">
        <f>SUMIFS(Data!E:E,Data!B:B,H4,Data!A:A,'Data Prep'!$B$15)</f>
        <v>22035033</v>
      </c>
      <c r="K4">
        <v>2018</v>
      </c>
      <c r="L4" s="13">
        <f>AVERAGEIFS(Data!F:F,Data!B:B,'Data Prep'!$B$3,Data!A:A,'Data Prep'!K4)</f>
        <v>79569.104166666672</v>
      </c>
      <c r="M4" s="1">
        <f>SUMIFS(Data!E:E,Data!B:B,'Data Prep'!$B$3,Data!A:A,'Data Prep'!K4)</f>
        <v>2781425</v>
      </c>
      <c r="O4" t="s">
        <v>2</v>
      </c>
      <c r="P4" s="1">
        <f>SUMIFS(Data!E:E,Data!B:B,'Data Prep'!$B$3,Data!A:A,'Data Prep'!$B$15,Data!C:C,'Data Prep'!O4)</f>
        <v>45513</v>
      </c>
      <c r="Q4" s="1">
        <v>7171646</v>
      </c>
      <c r="R4" s="14">
        <f t="shared" ref="R4:R50" si="1">P4/Q4*1000</f>
        <v>6.3462418529860507</v>
      </c>
      <c r="S4" s="15">
        <f>AVERAGEIFS(Data!F:F,Data!B:B,'Data Prep'!$B$3,Data!A:A,'Data Prep'!$B$15,Data!C:C,'Data Prep'!O4)</f>
        <v>90871</v>
      </c>
      <c r="T4" s="16">
        <f t="shared" ref="T4:T50" si="2">IF($T$2=$S$2,-S4,R4)</f>
        <v>-90871</v>
      </c>
    </row>
    <row r="5" spans="1:20" x14ac:dyDescent="0.25">
      <c r="A5" t="s">
        <v>58</v>
      </c>
      <c r="D5" t="s">
        <v>57</v>
      </c>
      <c r="E5" s="13">
        <f>AVERAGEIFS(Data!F:F,Data!B:B,D5,Data!A:A,$B$15)</f>
        <v>74713.0625</v>
      </c>
      <c r="F5" s="13">
        <f t="shared" si="0"/>
        <v>0</v>
      </c>
      <c r="H5" t="s">
        <v>57</v>
      </c>
      <c r="I5" s="1">
        <f>SUMIFS(Data!E:E,Data!B:B,H5,Data!A:A,'Data Prep'!$B$15)</f>
        <v>20065896</v>
      </c>
      <c r="K5">
        <v>2019</v>
      </c>
      <c r="L5" s="13">
        <f>AVERAGEIFS(Data!F:F,Data!B:B,'Data Prep'!$B$3,Data!A:A,'Data Prep'!K5)</f>
        <v>83493.333333333328</v>
      </c>
      <c r="M5" s="1">
        <f>SUMIFS(Data!E:E,Data!B:B,'Data Prep'!$B$3,Data!A:A,'Data Prep'!K5)</f>
        <v>2815141</v>
      </c>
      <c r="O5" t="s">
        <v>3</v>
      </c>
      <c r="P5" s="1">
        <f>SUMIFS(Data!E:E,Data!B:B,'Data Prep'!$B$3,Data!A:A,'Data Prep'!$B$15,Data!C:C,'Data Prep'!O5)</f>
        <v>11509</v>
      </c>
      <c r="Q5" s="1">
        <v>3013825</v>
      </c>
      <c r="R5" s="14">
        <f t="shared" si="1"/>
        <v>3.8187353280299954</v>
      </c>
      <c r="S5" s="15">
        <f>AVERAGEIFS(Data!F:F,Data!B:B,'Data Prep'!$B$3,Data!A:A,'Data Prep'!$B$15,Data!C:C,'Data Prep'!O5)</f>
        <v>69820</v>
      </c>
      <c r="T5" s="16">
        <f t="shared" si="2"/>
        <v>-69820</v>
      </c>
    </row>
    <row r="6" spans="1:20" x14ac:dyDescent="0.25">
      <c r="A6" t="s">
        <v>56</v>
      </c>
      <c r="D6" t="s">
        <v>52</v>
      </c>
      <c r="E6" s="13">
        <f>AVERAGEIFS(Data!F:F,Data!B:B,D6,Data!A:A,$B$15)</f>
        <v>68427.875</v>
      </c>
      <c r="F6" s="13">
        <f t="shared" si="0"/>
        <v>0</v>
      </c>
      <c r="H6" t="s">
        <v>59</v>
      </c>
      <c r="I6" s="1">
        <f>SUMIFS(Data!E:E,Data!B:B,H6,Data!A:A,'Data Prep'!$B$15)</f>
        <v>12649500</v>
      </c>
      <c r="K6">
        <v>2020</v>
      </c>
      <c r="L6" s="13">
        <f>AVERAGEIFS(Data!F:F,Data!B:B,'Data Prep'!$B$3,Data!A:A,'Data Prep'!K6)</f>
        <v>93586.333333333328</v>
      </c>
      <c r="M6" s="1">
        <f>SUMIFS(Data!E:E,Data!B:B,'Data Prep'!$B$3,Data!A:A,'Data Prep'!K6)</f>
        <v>2677815</v>
      </c>
      <c r="O6" t="s">
        <v>4</v>
      </c>
      <c r="P6" s="1">
        <f>SUMIFS(Data!E:E,Data!B:B,'Data Prep'!$B$3,Data!A:A,'Data Prep'!$B$15,Data!C:C,'Data Prep'!O6)</f>
        <v>527549</v>
      </c>
      <c r="Q6" s="1">
        <v>39557045</v>
      </c>
      <c r="R6" s="14">
        <f t="shared" si="1"/>
        <v>13.33641074554482</v>
      </c>
      <c r="S6" s="15">
        <f>AVERAGEIFS(Data!F:F,Data!B:B,'Data Prep'!$B$3,Data!A:A,'Data Prep'!$B$15,Data!C:C,'Data Prep'!O6)</f>
        <v>217892</v>
      </c>
      <c r="T6" s="16">
        <f t="shared" si="2"/>
        <v>-217892</v>
      </c>
    </row>
    <row r="7" spans="1:20" x14ac:dyDescent="0.25">
      <c r="A7" t="s">
        <v>53</v>
      </c>
      <c r="D7" t="s">
        <v>51</v>
      </c>
      <c r="E7" s="13">
        <f>AVERAGEIFS(Data!F:F,Data!B:B,D7,Data!A:A,$B$15)</f>
        <v>63896.895833333336</v>
      </c>
      <c r="F7" s="13">
        <f t="shared" si="0"/>
        <v>0</v>
      </c>
      <c r="H7" t="s">
        <v>52</v>
      </c>
      <c r="I7" s="1">
        <f>SUMIFS(Data!E:E,Data!B:B,H7,Data!A:A,'Data Prep'!$B$15)</f>
        <v>12058694</v>
      </c>
      <c r="O7" t="s">
        <v>5</v>
      </c>
      <c r="P7" s="1">
        <f>SUMIFS(Data!E:E,Data!B:B,'Data Prep'!$B$3,Data!A:A,'Data Prep'!$B$15,Data!C:C,'Data Prep'!O7)</f>
        <v>74867</v>
      </c>
      <c r="Q7" s="1">
        <v>5695564</v>
      </c>
      <c r="R7" s="14">
        <f t="shared" si="1"/>
        <v>13.144791279669581</v>
      </c>
      <c r="S7" s="15">
        <f>AVERAGEIFS(Data!F:F,Data!B:B,'Data Prep'!$B$3,Data!A:A,'Data Prep'!$B$15,Data!C:C,'Data Prep'!O7)</f>
        <v>123495</v>
      </c>
      <c r="T7" s="16">
        <f t="shared" si="2"/>
        <v>-123495</v>
      </c>
    </row>
    <row r="8" spans="1:20" x14ac:dyDescent="0.25">
      <c r="A8" t="s">
        <v>59</v>
      </c>
      <c r="D8" t="s">
        <v>55</v>
      </c>
      <c r="E8" s="13">
        <f>AVERAGEIFS(Data!F:F,Data!B:B,D8,Data!A:A,$B$15)</f>
        <v>55605.9375</v>
      </c>
      <c r="F8" s="13">
        <f t="shared" si="0"/>
        <v>0</v>
      </c>
      <c r="H8" t="s">
        <v>56</v>
      </c>
      <c r="I8" s="1">
        <f>SUMIFS(Data!E:E,Data!B:B,H8,Data!A:A,'Data Prep'!$B$15)</f>
        <v>8142043</v>
      </c>
      <c r="O8" t="s">
        <v>6</v>
      </c>
      <c r="P8" s="1">
        <f>SUMIFS(Data!E:E,Data!B:B,'Data Prep'!$B$3,Data!A:A,'Data Prep'!$B$15,Data!C:C,'Data Prep'!O8)</f>
        <v>29237</v>
      </c>
      <c r="Q8" s="1">
        <v>3572665</v>
      </c>
      <c r="R8" s="14">
        <f t="shared" si="1"/>
        <v>8.1835268630000293</v>
      </c>
      <c r="S8" s="15">
        <f>AVERAGEIFS(Data!F:F,Data!B:B,'Data Prep'!$B$3,Data!A:A,'Data Prep'!$B$15,Data!C:C,'Data Prep'!O8)</f>
        <v>138917</v>
      </c>
      <c r="T8" s="16">
        <f t="shared" si="2"/>
        <v>-138917</v>
      </c>
    </row>
    <row r="9" spans="1:20" x14ac:dyDescent="0.25">
      <c r="A9" t="s">
        <v>52</v>
      </c>
      <c r="D9" t="s">
        <v>58</v>
      </c>
      <c r="E9" s="13">
        <f>AVERAGEIFS(Data!F:F,Data!B:B,D9,Data!A:A,$B$15)</f>
        <v>53607.208333333336</v>
      </c>
      <c r="F9" s="13">
        <f t="shared" si="0"/>
        <v>0</v>
      </c>
      <c r="H9" t="s">
        <v>51</v>
      </c>
      <c r="I9" s="1">
        <f>SUMIFS(Data!E:E,Data!B:B,H9,Data!A:A,'Data Prep'!$B$15)</f>
        <v>7136444</v>
      </c>
      <c r="O9" t="s">
        <v>7</v>
      </c>
      <c r="P9" s="1">
        <f>SUMIFS(Data!E:E,Data!B:B,'Data Prep'!$B$3,Data!A:A,'Data Prep'!$B$15,Data!C:C,'Data Prep'!O9)</f>
        <v>3622</v>
      </c>
      <c r="Q9" s="1">
        <v>967171</v>
      </c>
      <c r="R9" s="14">
        <f t="shared" si="1"/>
        <v>3.744942724709488</v>
      </c>
      <c r="S9" s="15">
        <f>AVERAGEIFS(Data!F:F,Data!B:B,'Data Prep'!$B$3,Data!A:A,'Data Prep'!$B$15,Data!C:C,'Data Prep'!O9)</f>
        <v>78966</v>
      </c>
      <c r="T9" s="16">
        <f t="shared" si="2"/>
        <v>-78966</v>
      </c>
    </row>
    <row r="10" spans="1:20" x14ac:dyDescent="0.25">
      <c r="A10" t="s">
        <v>55</v>
      </c>
      <c r="D10" t="s">
        <v>54</v>
      </c>
      <c r="E10" s="13">
        <f>AVERAGEIFS(Data!F:F,Data!B:B,D10,Data!A:A,$B$15)</f>
        <v>49366.8125</v>
      </c>
      <c r="F10" s="13">
        <f t="shared" si="0"/>
        <v>0</v>
      </c>
      <c r="H10" t="s">
        <v>60</v>
      </c>
      <c r="I10" s="1">
        <f>SUMIFS(Data!E:E,Data!B:B,H10,Data!A:A,'Data Prep'!$B$15)</f>
        <v>3843699</v>
      </c>
      <c r="O10" t="s">
        <v>8</v>
      </c>
      <c r="P10" s="1">
        <f>SUMIFS(Data!E:E,Data!B:B,'Data Prep'!$B$3,Data!A:A,'Data Prep'!$B$15,Data!C:C,'Data Prep'!O10)</f>
        <v>130298</v>
      </c>
      <c r="Q10" s="1">
        <v>21670000</v>
      </c>
      <c r="R10" s="14">
        <f t="shared" si="1"/>
        <v>6.0128287955699129</v>
      </c>
      <c r="S10" s="15">
        <f>AVERAGEIFS(Data!F:F,Data!B:B,'Data Prep'!$B$3,Data!A:A,'Data Prep'!$B$15,Data!C:C,'Data Prep'!O10)</f>
        <v>93350</v>
      </c>
      <c r="T10" s="16">
        <f t="shared" si="2"/>
        <v>-93350</v>
      </c>
    </row>
    <row r="11" spans="1:20" x14ac:dyDescent="0.25">
      <c r="A11" t="s">
        <v>60</v>
      </c>
      <c r="D11" t="s">
        <v>60</v>
      </c>
      <c r="E11" s="13">
        <f>AVERAGEIFS(Data!F:F,Data!B:B,D11,Data!A:A,$B$15)</f>
        <v>40790.1875</v>
      </c>
      <c r="F11" s="13">
        <f t="shared" si="0"/>
        <v>0</v>
      </c>
      <c r="H11" t="s">
        <v>53</v>
      </c>
      <c r="I11" s="1">
        <f>SUMIFS(Data!E:E,Data!B:B,H11,Data!A:A,'Data Prep'!$B$15)</f>
        <v>2677815</v>
      </c>
      <c r="O11" t="s">
        <v>9</v>
      </c>
      <c r="P11" s="1">
        <f>SUMIFS(Data!E:E,Data!B:B,'Data Prep'!$B$3,Data!A:A,'Data Prep'!$B$15,Data!C:C,'Data Prep'!O11)</f>
        <v>109190</v>
      </c>
      <c r="Q11" s="1">
        <v>10519475</v>
      </c>
      <c r="R11" s="14">
        <f t="shared" si="1"/>
        <v>10.379795569645824</v>
      </c>
      <c r="S11" s="15">
        <f>AVERAGEIFS(Data!F:F,Data!B:B,'Data Prep'!$B$3,Data!A:A,'Data Prep'!$B$15,Data!C:C,'Data Prep'!O11)</f>
        <v>108735</v>
      </c>
      <c r="T11" s="16">
        <f t="shared" si="2"/>
        <v>-108735</v>
      </c>
    </row>
    <row r="12" spans="1:20" x14ac:dyDescent="0.25">
      <c r="A12" t="s">
        <v>54</v>
      </c>
      <c r="D12" t="s">
        <v>59</v>
      </c>
      <c r="E12" s="13">
        <f>AVERAGEIFS(Data!F:F,Data!B:B,D12,Data!A:A,$B$15)</f>
        <v>23286.416666666668</v>
      </c>
      <c r="F12" s="13">
        <f t="shared" si="0"/>
        <v>0</v>
      </c>
      <c r="H12" t="s">
        <v>55</v>
      </c>
      <c r="I12" s="1">
        <f>SUMIFS(Data!E:E,Data!B:B,H12,Data!A:A,'Data Prep'!$B$15)</f>
        <v>1762873</v>
      </c>
      <c r="O12" t="s">
        <v>10</v>
      </c>
      <c r="P12" s="1">
        <f>SUMIFS(Data!E:E,Data!B:B,'Data Prep'!$B$3,Data!A:A,'Data Prep'!$B$15,Data!C:C,'Data Prep'!O12)</f>
        <v>7346</v>
      </c>
      <c r="Q12" s="1">
        <v>1754208</v>
      </c>
      <c r="R12" s="14">
        <f t="shared" si="1"/>
        <v>4.1876447946879729</v>
      </c>
      <c r="S12" s="15">
        <f>AVERAGEIFS(Data!F:F,Data!B:B,'Data Prep'!$B$3,Data!A:A,'Data Prep'!$B$15,Data!C:C,'Data Prep'!O12)</f>
        <v>64408</v>
      </c>
      <c r="T12" s="16">
        <f t="shared" si="2"/>
        <v>-64408</v>
      </c>
    </row>
    <row r="13" spans="1:20" x14ac:dyDescent="0.25">
      <c r="O13" t="s">
        <v>11</v>
      </c>
      <c r="P13" s="1">
        <f>SUMIFS(Data!E:E,Data!B:B,'Data Prep'!$B$3,Data!A:A,'Data Prep'!$B$15,Data!C:C,'Data Prep'!O13)</f>
        <v>87520</v>
      </c>
      <c r="Q13" s="1">
        <v>12741080</v>
      </c>
      <c r="R13" s="14">
        <f t="shared" si="1"/>
        <v>6.8691194153085924</v>
      </c>
      <c r="S13" s="15">
        <f>AVERAGEIFS(Data!F:F,Data!B:B,'Data Prep'!$B$3,Data!A:A,'Data Prep'!$B$15,Data!C:C,'Data Prep'!O13)</f>
        <v>110059</v>
      </c>
      <c r="T13" s="16">
        <f t="shared" si="2"/>
        <v>-110059</v>
      </c>
    </row>
    <row r="14" spans="1:20" x14ac:dyDescent="0.25">
      <c r="A14" s="8" t="s">
        <v>66</v>
      </c>
      <c r="B14" s="9"/>
      <c r="H14" s="11" t="s">
        <v>70</v>
      </c>
      <c r="I14" s="12"/>
      <c r="O14" t="s">
        <v>12</v>
      </c>
      <c r="P14" s="1">
        <f>SUMIFS(Data!E:E,Data!B:B,'Data Prep'!$B$3,Data!A:A,'Data Prep'!$B$15,Data!C:C,'Data Prep'!O14)</f>
        <v>26075</v>
      </c>
      <c r="Q14" s="1">
        <v>6691878</v>
      </c>
      <c r="R14" s="14">
        <f t="shared" si="1"/>
        <v>3.8965145509227757</v>
      </c>
      <c r="S14" s="15">
        <f>AVERAGEIFS(Data!F:F,Data!B:B,'Data Prep'!$B$3,Data!A:A,'Data Prep'!$B$15,Data!C:C,'Data Prep'!O14)</f>
        <v>67191</v>
      </c>
      <c r="T14" s="16">
        <f t="shared" si="2"/>
        <v>-67191</v>
      </c>
    </row>
    <row r="15" spans="1:20" x14ac:dyDescent="0.25">
      <c r="A15" s="4" t="s">
        <v>67</v>
      </c>
      <c r="B15" s="5">
        <v>2020</v>
      </c>
      <c r="D15" t="str">
        <f>INDEX(D3:D12,1)</f>
        <v>Information</v>
      </c>
      <c r="H15" s="6" t="s">
        <v>49</v>
      </c>
      <c r="I15" s="6" t="s">
        <v>62</v>
      </c>
      <c r="O15" t="s">
        <v>13</v>
      </c>
      <c r="P15" s="1">
        <f>SUMIFS(Data!E:E,Data!B:B,'Data Prep'!$B$3,Data!A:A,'Data Prep'!$B$15,Data!C:C,'Data Prep'!O15)</f>
        <v>19135</v>
      </c>
      <c r="Q15" s="1">
        <v>3156145</v>
      </c>
      <c r="R15" s="14">
        <f t="shared" si="1"/>
        <v>6.0627759497741707</v>
      </c>
      <c r="S15" s="15">
        <f>AVERAGEIFS(Data!F:F,Data!B:B,'Data Prep'!$B$3,Data!A:A,'Data Prep'!$B$15,Data!C:C,'Data Prep'!O15)</f>
        <v>66858</v>
      </c>
      <c r="T15" s="16">
        <f t="shared" si="2"/>
        <v>-66858</v>
      </c>
    </row>
    <row r="16" spans="1:20" x14ac:dyDescent="0.25">
      <c r="H16" t="str">
        <f>B3</f>
        <v>Information</v>
      </c>
      <c r="I16" s="1">
        <f>VLOOKUP(B3,H3:I12,2,0)</f>
        <v>2677815</v>
      </c>
      <c r="O16" t="s">
        <v>14</v>
      </c>
      <c r="P16" s="1">
        <f>SUMIFS(Data!E:E,Data!B:B,'Data Prep'!$B$3,Data!A:A,'Data Prep'!$B$15,Data!C:C,'Data Prep'!O16)</f>
        <v>16734</v>
      </c>
      <c r="Q16" s="1">
        <v>2911505</v>
      </c>
      <c r="R16" s="14">
        <f t="shared" si="1"/>
        <v>5.7475429374155294</v>
      </c>
      <c r="S16" s="15">
        <f>AVERAGEIFS(Data!F:F,Data!B:B,'Data Prep'!$B$3,Data!A:A,'Data Prep'!$B$15,Data!C:C,'Data Prep'!O16)</f>
        <v>73749</v>
      </c>
      <c r="T16" s="16">
        <f t="shared" si="2"/>
        <v>-73749</v>
      </c>
    </row>
    <row r="17" spans="1:20" x14ac:dyDescent="0.25">
      <c r="A17" s="8" t="s">
        <v>78</v>
      </c>
      <c r="B17" s="8"/>
      <c r="H17" t="s">
        <v>71</v>
      </c>
      <c r="I17" s="1">
        <f>SUM(I3:I12)-I16</f>
        <v>113971524</v>
      </c>
      <c r="O17" t="s">
        <v>15</v>
      </c>
      <c r="P17" s="1">
        <f>SUMIFS(Data!E:E,Data!B:B,'Data Prep'!$B$3,Data!A:A,'Data Prep'!$B$15,Data!C:C,'Data Prep'!O17)</f>
        <v>20268</v>
      </c>
      <c r="Q17" s="1">
        <v>4468402</v>
      </c>
      <c r="R17" s="14">
        <f t="shared" si="1"/>
        <v>4.5358497288292332</v>
      </c>
      <c r="S17" s="15">
        <f>AVERAGEIFS(Data!F:F,Data!B:B,'Data Prep'!$B$3,Data!A:A,'Data Prep'!$B$15,Data!C:C,'Data Prep'!O17)</f>
        <v>63462</v>
      </c>
      <c r="T17" s="16">
        <f t="shared" si="2"/>
        <v>-63462</v>
      </c>
    </row>
    <row r="18" spans="1:20" x14ac:dyDescent="0.25">
      <c r="A18" s="4" t="s">
        <v>79</v>
      </c>
      <c r="B18" s="5" t="str">
        <f>IF(Dashboard!A2=1,'Data Prep'!S2,'Data Prep'!R2)</f>
        <v>Average Wages</v>
      </c>
      <c r="O18" t="s">
        <v>16</v>
      </c>
      <c r="P18" s="1">
        <f>SUMIFS(Data!E:E,Data!B:B,'Data Prep'!$B$3,Data!A:A,'Data Prep'!$B$15,Data!C:C,'Data Prep'!O18)</f>
        <v>18712</v>
      </c>
      <c r="Q18" s="1">
        <v>4659978</v>
      </c>
      <c r="R18" s="14">
        <f t="shared" si="1"/>
        <v>4.015469600929447</v>
      </c>
      <c r="S18" s="15">
        <f>AVERAGEIFS(Data!F:F,Data!B:B,'Data Prep'!$B$3,Data!A:A,'Data Prep'!$B$15,Data!C:C,'Data Prep'!O18)</f>
        <v>65700</v>
      </c>
      <c r="T18" s="16">
        <f t="shared" si="2"/>
        <v>-65700</v>
      </c>
    </row>
    <row r="19" spans="1:20" x14ac:dyDescent="0.25">
      <c r="H19" s="17" t="s">
        <v>80</v>
      </c>
      <c r="I19" s="19">
        <f>I16/SUM(I16:I17)</f>
        <v>2.2956109506972858E-2</v>
      </c>
      <c r="O19" t="s">
        <v>17</v>
      </c>
      <c r="P19" s="1">
        <f>SUMIFS(Data!E:E,Data!B:B,'Data Prep'!$B$3,Data!A:A,'Data Prep'!$B$15,Data!C:C,'Data Prep'!O19)</f>
        <v>6415</v>
      </c>
      <c r="Q19" s="1">
        <v>1338404</v>
      </c>
      <c r="R19" s="14">
        <f t="shared" si="1"/>
        <v>4.7930221368136978</v>
      </c>
      <c r="S19" s="15">
        <f>AVERAGEIFS(Data!F:F,Data!B:B,'Data Prep'!$B$3,Data!A:A,'Data Prep'!$B$15,Data!C:C,'Data Prep'!O19)</f>
        <v>64265</v>
      </c>
      <c r="T19" s="16">
        <f t="shared" si="2"/>
        <v>-64265</v>
      </c>
    </row>
    <row r="20" spans="1:20" x14ac:dyDescent="0.25">
      <c r="O20" t="s">
        <v>18</v>
      </c>
      <c r="P20" s="1">
        <f>SUMIFS(Data!E:E,Data!B:B,'Data Prep'!$B$3,Data!A:A,'Data Prep'!$B$15,Data!C:C,'Data Prep'!O20)</f>
        <v>33029</v>
      </c>
      <c r="Q20" s="1">
        <v>6042718</v>
      </c>
      <c r="R20" s="14">
        <f t="shared" si="1"/>
        <v>5.4659178204245169</v>
      </c>
      <c r="S20" s="15">
        <f>AVERAGEIFS(Data!F:F,Data!B:B,'Data Prep'!$B$3,Data!A:A,'Data Prep'!$B$15,Data!C:C,'Data Prep'!O20)</f>
        <v>110569</v>
      </c>
      <c r="T20" s="16">
        <f t="shared" si="2"/>
        <v>-110569</v>
      </c>
    </row>
    <row r="21" spans="1:20" x14ac:dyDescent="0.25">
      <c r="O21" t="s">
        <v>19</v>
      </c>
      <c r="P21" s="1">
        <f>SUMIFS(Data!E:E,Data!B:B,'Data Prep'!$B$3,Data!A:A,'Data Prep'!$B$15,Data!C:C,'Data Prep'!O21)</f>
        <v>89231</v>
      </c>
      <c r="Q21" s="1">
        <v>6902149</v>
      </c>
      <c r="R21" s="14">
        <f t="shared" si="1"/>
        <v>12.928002568475412</v>
      </c>
      <c r="S21" s="15">
        <f>AVERAGEIFS(Data!F:F,Data!B:B,'Data Prep'!$B$3,Data!A:A,'Data Prep'!$B$15,Data!C:C,'Data Prep'!O21)</f>
        <v>146746</v>
      </c>
      <c r="T21" s="16">
        <f t="shared" si="2"/>
        <v>-146746</v>
      </c>
    </row>
    <row r="22" spans="1:20" x14ac:dyDescent="0.25">
      <c r="O22" t="s">
        <v>20</v>
      </c>
      <c r="P22" s="1">
        <f>SUMIFS(Data!E:E,Data!B:B,'Data Prep'!$B$3,Data!A:A,'Data Prep'!$B$15,Data!C:C,'Data Prep'!O22)</f>
        <v>50511</v>
      </c>
      <c r="Q22" s="1">
        <v>9995915</v>
      </c>
      <c r="R22" s="14">
        <f t="shared" si="1"/>
        <v>5.053164217582883</v>
      </c>
      <c r="S22" s="15">
        <f>AVERAGEIFS(Data!F:F,Data!B:B,'Data Prep'!$B$3,Data!A:A,'Data Prep'!$B$15,Data!C:C,'Data Prep'!O22)</f>
        <v>88745</v>
      </c>
      <c r="T22" s="16">
        <f t="shared" si="2"/>
        <v>-88745</v>
      </c>
    </row>
    <row r="23" spans="1:20" x14ac:dyDescent="0.25">
      <c r="O23" t="s">
        <v>21</v>
      </c>
      <c r="P23" s="1">
        <f>SUMIFS(Data!E:E,Data!B:B,'Data Prep'!$B$3,Data!A:A,'Data Prep'!$B$15,Data!C:C,'Data Prep'!O23)</f>
        <v>43145</v>
      </c>
      <c r="Q23" s="1">
        <v>5611179</v>
      </c>
      <c r="R23" s="14">
        <f t="shared" si="1"/>
        <v>7.6891148901148938</v>
      </c>
      <c r="S23" s="15">
        <f>AVERAGEIFS(Data!F:F,Data!B:B,'Data Prep'!$B$3,Data!A:A,'Data Prep'!$B$15,Data!C:C,'Data Prep'!O23)</f>
        <v>92292</v>
      </c>
      <c r="T23" s="16">
        <f t="shared" si="2"/>
        <v>-92292</v>
      </c>
    </row>
    <row r="24" spans="1:20" x14ac:dyDescent="0.25">
      <c r="O24" t="s">
        <v>22</v>
      </c>
      <c r="P24" s="1">
        <f>SUMIFS(Data!E:E,Data!B:B,'Data Prep'!$B$3,Data!A:A,'Data Prep'!$B$15,Data!C:C,'Data Prep'!O24)</f>
        <v>9629</v>
      </c>
      <c r="Q24" s="1">
        <v>2963914</v>
      </c>
      <c r="R24" s="14">
        <f t="shared" si="1"/>
        <v>3.2487447341589535</v>
      </c>
      <c r="S24" s="15">
        <f>AVERAGEIFS(Data!F:F,Data!B:B,'Data Prep'!$B$3,Data!A:A,'Data Prep'!$B$15,Data!C:C,'Data Prep'!O24)</f>
        <v>54301</v>
      </c>
      <c r="T24" s="16">
        <f t="shared" si="2"/>
        <v>-54301</v>
      </c>
    </row>
    <row r="25" spans="1:20" x14ac:dyDescent="0.25">
      <c r="O25" t="s">
        <v>23</v>
      </c>
      <c r="P25" s="1">
        <f>SUMIFS(Data!E:E,Data!B:B,'Data Prep'!$B$3,Data!A:A,'Data Prep'!$B$15,Data!C:C,'Data Prep'!O25)</f>
        <v>43675</v>
      </c>
      <c r="Q25" s="1">
        <v>6126452</v>
      </c>
      <c r="R25" s="14">
        <f t="shared" si="1"/>
        <v>7.1289222538591668</v>
      </c>
      <c r="S25" s="15">
        <f>AVERAGEIFS(Data!F:F,Data!B:B,'Data Prep'!$B$3,Data!A:A,'Data Prep'!$B$15,Data!C:C,'Data Prep'!O25)</f>
        <v>89327</v>
      </c>
      <c r="T25" s="16">
        <f t="shared" si="2"/>
        <v>-89327</v>
      </c>
    </row>
    <row r="26" spans="1:20" x14ac:dyDescent="0.25">
      <c r="O26" t="s">
        <v>24</v>
      </c>
      <c r="P26" s="1">
        <f>SUMIFS(Data!E:E,Data!B:B,'Data Prep'!$B$3,Data!A:A,'Data Prep'!$B$15,Data!C:C,'Data Prep'!O26)</f>
        <v>5797</v>
      </c>
      <c r="Q26" s="1">
        <v>1062305</v>
      </c>
      <c r="R26" s="14">
        <f t="shared" si="1"/>
        <v>5.4570015202790154</v>
      </c>
      <c r="S26" s="15">
        <f>AVERAGEIFS(Data!F:F,Data!B:B,'Data Prep'!$B$3,Data!A:A,'Data Prep'!$B$15,Data!C:C,'Data Prep'!O26)</f>
        <v>65673</v>
      </c>
      <c r="T26" s="16">
        <f t="shared" si="2"/>
        <v>-65673</v>
      </c>
    </row>
    <row r="27" spans="1:20" x14ac:dyDescent="0.25">
      <c r="O27" t="s">
        <v>25</v>
      </c>
      <c r="P27" s="1">
        <f>SUMIFS(Data!E:E,Data!B:B,'Data Prep'!$B$3,Data!A:A,'Data Prep'!$B$15,Data!C:C,'Data Prep'!O27)</f>
        <v>16165</v>
      </c>
      <c r="Q27" s="1">
        <v>1929268</v>
      </c>
      <c r="R27" s="14">
        <f t="shared" si="1"/>
        <v>8.3788255441960366</v>
      </c>
      <c r="S27" s="15">
        <f>AVERAGEIFS(Data!F:F,Data!B:B,'Data Prep'!$B$3,Data!A:A,'Data Prep'!$B$15,Data!C:C,'Data Prep'!O27)</f>
        <v>76361</v>
      </c>
      <c r="T27" s="16">
        <f t="shared" si="2"/>
        <v>-76361</v>
      </c>
    </row>
    <row r="28" spans="1:20" x14ac:dyDescent="0.25">
      <c r="O28" t="s">
        <v>26</v>
      </c>
      <c r="P28" s="1">
        <f>SUMIFS(Data!E:E,Data!B:B,'Data Prep'!$B$3,Data!A:A,'Data Prep'!$B$15,Data!C:C,'Data Prep'!O28)</f>
        <v>13306</v>
      </c>
      <c r="Q28" s="1">
        <v>3034392</v>
      </c>
      <c r="R28" s="14">
        <f t="shared" si="1"/>
        <v>4.3850629714288729</v>
      </c>
      <c r="S28" s="15">
        <f>AVERAGEIFS(Data!F:F,Data!B:B,'Data Prep'!$B$3,Data!A:A,'Data Prep'!$B$15,Data!C:C,'Data Prep'!O28)</f>
        <v>88353</v>
      </c>
      <c r="T28" s="16">
        <f t="shared" si="2"/>
        <v>-88353</v>
      </c>
    </row>
    <row r="29" spans="1:20" x14ac:dyDescent="0.25">
      <c r="O29" t="s">
        <v>27</v>
      </c>
      <c r="P29" s="1">
        <f>SUMIFS(Data!E:E,Data!B:B,'Data Prep'!$B$3,Data!A:A,'Data Prep'!$B$15,Data!C:C,'Data Prep'!O29)</f>
        <v>11735</v>
      </c>
      <c r="Q29" s="1">
        <v>1356458</v>
      </c>
      <c r="R29" s="14">
        <f t="shared" si="1"/>
        <v>8.651207777903922</v>
      </c>
      <c r="S29" s="15">
        <f>AVERAGEIFS(Data!F:F,Data!B:B,'Data Prep'!$B$3,Data!A:A,'Data Prep'!$B$15,Data!C:C,'Data Prep'!O29)</f>
        <v>107194</v>
      </c>
      <c r="T29" s="16">
        <f t="shared" si="2"/>
        <v>-107194</v>
      </c>
    </row>
    <row r="30" spans="1:20" x14ac:dyDescent="0.25">
      <c r="O30" t="s">
        <v>28</v>
      </c>
      <c r="P30" s="1">
        <f>SUMIFS(Data!E:E,Data!B:B,'Data Prep'!$B$3,Data!A:A,'Data Prep'!$B$15,Data!C:C,'Data Prep'!O30)</f>
        <v>67885</v>
      </c>
      <c r="Q30" s="1">
        <v>8908520</v>
      </c>
      <c r="R30" s="14">
        <f t="shared" si="1"/>
        <v>7.6202332149447942</v>
      </c>
      <c r="S30" s="15">
        <f>AVERAGEIFS(Data!F:F,Data!B:B,'Data Prep'!$B$3,Data!A:A,'Data Prep'!$B$15,Data!C:C,'Data Prep'!O30)</f>
        <v>130541</v>
      </c>
      <c r="T30" s="16">
        <f t="shared" si="2"/>
        <v>-130541</v>
      </c>
    </row>
    <row r="31" spans="1:20" x14ac:dyDescent="0.25">
      <c r="O31" t="s">
        <v>29</v>
      </c>
      <c r="P31" s="1">
        <f>SUMIFS(Data!E:E,Data!B:B,'Data Prep'!$B$3,Data!A:A,'Data Prep'!$B$15,Data!C:C,'Data Prep'!O31)</f>
        <v>9076</v>
      </c>
      <c r="Q31" s="1">
        <v>2095428</v>
      </c>
      <c r="R31" s="14">
        <f t="shared" si="1"/>
        <v>4.3313346963007078</v>
      </c>
      <c r="S31" s="15">
        <f>AVERAGEIFS(Data!F:F,Data!B:B,'Data Prep'!$B$3,Data!A:A,'Data Prep'!$B$15,Data!C:C,'Data Prep'!O31)</f>
        <v>62393</v>
      </c>
      <c r="T31" s="16">
        <f t="shared" si="2"/>
        <v>-62393</v>
      </c>
    </row>
    <row r="32" spans="1:20" x14ac:dyDescent="0.25">
      <c r="O32" t="s">
        <v>30</v>
      </c>
      <c r="P32" s="1">
        <f>SUMIFS(Data!E:E,Data!B:B,'Data Prep'!$B$3,Data!A:A,'Data Prep'!$B$15,Data!C:C,'Data Prep'!O32)</f>
        <v>267749</v>
      </c>
      <c r="Q32" s="1">
        <v>19542209</v>
      </c>
      <c r="R32" s="14">
        <f t="shared" si="1"/>
        <v>13.701061123642674</v>
      </c>
      <c r="S32" s="15">
        <f>AVERAGEIFS(Data!F:F,Data!B:B,'Data Prep'!$B$3,Data!A:A,'Data Prep'!$B$15,Data!C:C,'Data Prep'!O32)</f>
        <v>154357</v>
      </c>
      <c r="T32" s="16">
        <f t="shared" si="2"/>
        <v>-154357</v>
      </c>
    </row>
    <row r="33" spans="15:20" x14ac:dyDescent="0.25">
      <c r="O33" t="s">
        <v>31</v>
      </c>
      <c r="P33" s="1">
        <f>SUMIFS(Data!E:E,Data!B:B,'Data Prep'!$B$3,Data!A:A,'Data Prep'!$B$15,Data!C:C,'Data Prep'!O33)</f>
        <v>73440</v>
      </c>
      <c r="Q33" s="1">
        <v>10383620</v>
      </c>
      <c r="R33" s="14">
        <f t="shared" si="1"/>
        <v>7.0726779292770727</v>
      </c>
      <c r="S33" s="15">
        <f>AVERAGEIFS(Data!F:F,Data!B:B,'Data Prep'!$B$3,Data!A:A,'Data Prep'!$B$15,Data!C:C,'Data Prep'!O33)</f>
        <v>96207</v>
      </c>
      <c r="T33" s="16">
        <f t="shared" si="2"/>
        <v>-96207</v>
      </c>
    </row>
    <row r="34" spans="15:20" x14ac:dyDescent="0.25">
      <c r="O34" t="s">
        <v>32</v>
      </c>
      <c r="P34" s="1">
        <f>SUMIFS(Data!E:E,Data!B:B,'Data Prep'!$B$3,Data!A:A,'Data Prep'!$B$15,Data!C:C,'Data Prep'!O34)</f>
        <v>5780</v>
      </c>
      <c r="Q34" s="1">
        <v>760077</v>
      </c>
      <c r="R34" s="14">
        <f t="shared" si="1"/>
        <v>7.6044927027130145</v>
      </c>
      <c r="S34" s="15">
        <f>AVERAGEIFS(Data!F:F,Data!B:B,'Data Prep'!$B$3,Data!A:A,'Data Prep'!$B$15,Data!C:C,'Data Prep'!O34)</f>
        <v>79624</v>
      </c>
      <c r="T34" s="16">
        <f t="shared" si="2"/>
        <v>-79624</v>
      </c>
    </row>
    <row r="35" spans="15:20" x14ac:dyDescent="0.25">
      <c r="O35" t="s">
        <v>33</v>
      </c>
      <c r="P35" s="1">
        <f>SUMIFS(Data!E:E,Data!B:B,'Data Prep'!$B$3,Data!A:A,'Data Prep'!$B$15,Data!C:C,'Data Prep'!O35)</f>
        <v>63865</v>
      </c>
      <c r="Q35" s="1">
        <v>11689442</v>
      </c>
      <c r="R35" s="14">
        <f t="shared" si="1"/>
        <v>5.4634772130269349</v>
      </c>
      <c r="S35" s="15">
        <f>AVERAGEIFS(Data!F:F,Data!B:B,'Data Prep'!$B$3,Data!A:A,'Data Prep'!$B$15,Data!C:C,'Data Prep'!O35)</f>
        <v>80052</v>
      </c>
      <c r="T35" s="16">
        <f t="shared" si="2"/>
        <v>-80052</v>
      </c>
    </row>
    <row r="36" spans="15:20" x14ac:dyDescent="0.25">
      <c r="O36" t="s">
        <v>34</v>
      </c>
      <c r="P36" s="1">
        <f>SUMIFS(Data!E:E,Data!B:B,'Data Prep'!$B$3,Data!A:A,'Data Prep'!$B$15,Data!C:C,'Data Prep'!O36)</f>
        <v>18256</v>
      </c>
      <c r="Q36" s="1">
        <v>3943079</v>
      </c>
      <c r="R36" s="14">
        <f t="shared" si="1"/>
        <v>4.6298844126633023</v>
      </c>
      <c r="S36" s="15">
        <f>AVERAGEIFS(Data!F:F,Data!B:B,'Data Prep'!$B$3,Data!A:A,'Data Prep'!$B$15,Data!C:C,'Data Prep'!O36)</f>
        <v>63710</v>
      </c>
      <c r="T36" s="16">
        <f t="shared" si="2"/>
        <v>-63710</v>
      </c>
    </row>
    <row r="37" spans="15:20" x14ac:dyDescent="0.25">
      <c r="O37" t="s">
        <v>35</v>
      </c>
      <c r="P37" s="1">
        <f>SUMIFS(Data!E:E,Data!B:B,'Data Prep'!$B$3,Data!A:A,'Data Prep'!$B$15,Data!C:C,'Data Prep'!O37)</f>
        <v>33218</v>
      </c>
      <c r="Q37" s="1">
        <v>4190713</v>
      </c>
      <c r="R37" s="14">
        <f t="shared" si="1"/>
        <v>7.9265747857226208</v>
      </c>
      <c r="S37" s="15">
        <f>AVERAGEIFS(Data!F:F,Data!B:B,'Data Prep'!$B$3,Data!A:A,'Data Prep'!$B$15,Data!C:C,'Data Prep'!O37)</f>
        <v>101737</v>
      </c>
      <c r="T37" s="16">
        <f t="shared" si="2"/>
        <v>-101737</v>
      </c>
    </row>
    <row r="38" spans="15:20" x14ac:dyDescent="0.25">
      <c r="O38" t="s">
        <v>36</v>
      </c>
      <c r="P38" s="1">
        <f>SUMIFS(Data!E:E,Data!B:B,'Data Prep'!$B$3,Data!A:A,'Data Prep'!$B$15,Data!C:C,'Data Prep'!O38)</f>
        <v>82872</v>
      </c>
      <c r="Q38" s="1">
        <v>12807060</v>
      </c>
      <c r="R38" s="14">
        <f t="shared" si="1"/>
        <v>6.4708059460953571</v>
      </c>
      <c r="S38" s="15">
        <f>AVERAGEIFS(Data!F:F,Data!B:B,'Data Prep'!$B$3,Data!A:A,'Data Prep'!$B$15,Data!C:C,'Data Prep'!O38)</f>
        <v>107388</v>
      </c>
      <c r="T38" s="16">
        <f t="shared" si="2"/>
        <v>-107388</v>
      </c>
    </row>
    <row r="39" spans="15:20" x14ac:dyDescent="0.25">
      <c r="O39" t="s">
        <v>37</v>
      </c>
      <c r="P39" s="1">
        <f>SUMIFS(Data!E:E,Data!B:B,'Data Prep'!$B$3,Data!A:A,'Data Prep'!$B$15,Data!C:C,'Data Prep'!O39)</f>
        <v>5243</v>
      </c>
      <c r="Q39" s="1">
        <v>1057315</v>
      </c>
      <c r="R39" s="14">
        <f t="shared" si="1"/>
        <v>4.9587871164222586</v>
      </c>
      <c r="S39" s="15">
        <f>AVERAGEIFS(Data!F:F,Data!B:B,'Data Prep'!$B$3,Data!A:A,'Data Prep'!$B$15,Data!C:C,'Data Prep'!O39)</f>
        <v>87286</v>
      </c>
      <c r="T39" s="16">
        <f t="shared" si="2"/>
        <v>-87286</v>
      </c>
    </row>
    <row r="40" spans="15:20" x14ac:dyDescent="0.25">
      <c r="O40" t="s">
        <v>38</v>
      </c>
      <c r="P40" s="1">
        <f>SUMIFS(Data!E:E,Data!B:B,'Data Prep'!$B$3,Data!A:A,'Data Prep'!$B$15,Data!C:C,'Data Prep'!O40)</f>
        <v>24744</v>
      </c>
      <c r="Q40" s="1">
        <v>5084127</v>
      </c>
      <c r="R40" s="14">
        <f t="shared" si="1"/>
        <v>4.8669122545522558</v>
      </c>
      <c r="S40" s="15">
        <f>AVERAGEIFS(Data!F:F,Data!B:B,'Data Prep'!$B$3,Data!A:A,'Data Prep'!$B$15,Data!C:C,'Data Prep'!O40)</f>
        <v>73562</v>
      </c>
      <c r="T40" s="16">
        <f t="shared" si="2"/>
        <v>-73562</v>
      </c>
    </row>
    <row r="41" spans="15:20" x14ac:dyDescent="0.25">
      <c r="O41" t="s">
        <v>39</v>
      </c>
      <c r="P41" s="1">
        <f>SUMIFS(Data!E:E,Data!B:B,'Data Prep'!$B$3,Data!A:A,'Data Prep'!$B$15,Data!C:C,'Data Prep'!O41)</f>
        <v>5074</v>
      </c>
      <c r="Q41" s="1">
        <v>882235</v>
      </c>
      <c r="R41" s="14">
        <f t="shared" si="1"/>
        <v>5.7513020907127919</v>
      </c>
      <c r="S41" s="15">
        <f>AVERAGEIFS(Data!F:F,Data!B:B,'Data Prep'!$B$3,Data!A:A,'Data Prep'!$B$15,Data!C:C,'Data Prep'!O41)</f>
        <v>58069</v>
      </c>
      <c r="T41" s="16">
        <f t="shared" si="2"/>
        <v>-58069</v>
      </c>
    </row>
    <row r="42" spans="15:20" x14ac:dyDescent="0.25">
      <c r="O42" t="s">
        <v>40</v>
      </c>
      <c r="P42" s="1">
        <f>SUMIFS(Data!E:E,Data!B:B,'Data Prep'!$B$3,Data!A:A,'Data Prep'!$B$15,Data!C:C,'Data Prep'!O42)</f>
        <v>42929</v>
      </c>
      <c r="Q42" s="1">
        <v>6770010</v>
      </c>
      <c r="R42" s="14">
        <f t="shared" si="1"/>
        <v>6.3410541491076087</v>
      </c>
      <c r="S42" s="15">
        <f>AVERAGEIFS(Data!F:F,Data!B:B,'Data Prep'!$B$3,Data!A:A,'Data Prep'!$B$15,Data!C:C,'Data Prep'!O42)</f>
        <v>81293</v>
      </c>
      <c r="T42" s="16">
        <f t="shared" si="2"/>
        <v>-81293</v>
      </c>
    </row>
    <row r="43" spans="15:20" x14ac:dyDescent="0.25">
      <c r="O43" t="s">
        <v>41</v>
      </c>
      <c r="P43" s="1">
        <f>SUMIFS(Data!E:E,Data!B:B,'Data Prep'!$B$3,Data!A:A,'Data Prep'!$B$15,Data!C:C,'Data Prep'!O43)</f>
        <v>198521</v>
      </c>
      <c r="Q43" s="1">
        <v>28701845</v>
      </c>
      <c r="R43" s="14">
        <f t="shared" si="1"/>
        <v>6.9166633712919854</v>
      </c>
      <c r="S43" s="15">
        <f>AVERAGEIFS(Data!F:F,Data!B:B,'Data Prep'!$B$3,Data!A:A,'Data Prep'!$B$15,Data!C:C,'Data Prep'!O43)</f>
        <v>102835</v>
      </c>
      <c r="T43" s="16">
        <f t="shared" si="2"/>
        <v>-102835</v>
      </c>
    </row>
    <row r="44" spans="15:20" x14ac:dyDescent="0.25">
      <c r="O44" t="s">
        <v>42</v>
      </c>
      <c r="P44" s="1">
        <f>SUMIFS(Data!E:E,Data!B:B,'Data Prep'!$B$3,Data!A:A,'Data Prep'!$B$15,Data!C:C,'Data Prep'!O44)</f>
        <v>37222</v>
      </c>
      <c r="Q44" s="1">
        <v>3161105</v>
      </c>
      <c r="R44" s="14">
        <f t="shared" si="1"/>
        <v>11.774996401574766</v>
      </c>
      <c r="S44" s="15">
        <f>AVERAGEIFS(Data!F:F,Data!B:B,'Data Prep'!$B$3,Data!A:A,'Data Prep'!$B$15,Data!C:C,'Data Prep'!O44)</f>
        <v>96974</v>
      </c>
      <c r="T44" s="16">
        <f t="shared" si="2"/>
        <v>-96974</v>
      </c>
    </row>
    <row r="45" spans="15:20" x14ac:dyDescent="0.25">
      <c r="O45" t="s">
        <v>43</v>
      </c>
      <c r="P45" s="1">
        <f>SUMIFS(Data!E:E,Data!B:B,'Data Prep'!$B$3,Data!A:A,'Data Prep'!$B$15,Data!C:C,'Data Prep'!O45)</f>
        <v>3961</v>
      </c>
      <c r="Q45" s="1">
        <v>626299</v>
      </c>
      <c r="R45" s="14">
        <f t="shared" si="1"/>
        <v>6.32445525220382</v>
      </c>
      <c r="S45" s="15">
        <f>AVERAGEIFS(Data!F:F,Data!B:B,'Data Prep'!$B$3,Data!A:A,'Data Prep'!$B$15,Data!C:C,'Data Prep'!O45)</f>
        <v>68605</v>
      </c>
      <c r="T45" s="16">
        <f t="shared" si="2"/>
        <v>-68605</v>
      </c>
    </row>
    <row r="46" spans="15:20" x14ac:dyDescent="0.25">
      <c r="O46" t="s">
        <v>44</v>
      </c>
      <c r="P46" s="1">
        <f>SUMIFS(Data!E:E,Data!B:B,'Data Prep'!$B$3,Data!A:A,'Data Prep'!$B$15,Data!C:C,'Data Prep'!O46)</f>
        <v>64840</v>
      </c>
      <c r="Q46" s="1">
        <v>8517685</v>
      </c>
      <c r="R46" s="14">
        <f t="shared" si="1"/>
        <v>7.6123970304137796</v>
      </c>
      <c r="S46" s="15">
        <f>AVERAGEIFS(Data!F:F,Data!B:B,'Data Prep'!$B$3,Data!A:A,'Data Prep'!$B$15,Data!C:C,'Data Prep'!O46)</f>
        <v>117848</v>
      </c>
      <c r="T46" s="16">
        <f t="shared" si="2"/>
        <v>-117848</v>
      </c>
    </row>
    <row r="47" spans="15:20" x14ac:dyDescent="0.25">
      <c r="O47" t="s">
        <v>45</v>
      </c>
      <c r="P47" s="1">
        <f>SUMIFS(Data!E:E,Data!B:B,'Data Prep'!$B$3,Data!A:A,'Data Prep'!$B$15,Data!C:C,'Data Prep'!O47)</f>
        <v>148556</v>
      </c>
      <c r="Q47" s="1">
        <v>7614893</v>
      </c>
      <c r="R47" s="14">
        <f t="shared" si="1"/>
        <v>19.508612924699005</v>
      </c>
      <c r="S47" s="15">
        <f>AVERAGEIFS(Data!F:F,Data!B:B,'Data Prep'!$B$3,Data!A:A,'Data Prep'!$B$15,Data!C:C,'Data Prep'!O47)</f>
        <v>242273</v>
      </c>
      <c r="T47" s="16">
        <f t="shared" si="2"/>
        <v>-242273</v>
      </c>
    </row>
    <row r="48" spans="15:20" x14ac:dyDescent="0.25">
      <c r="O48" t="s">
        <v>46</v>
      </c>
      <c r="P48" s="1">
        <f>SUMIFS(Data!E:E,Data!B:B,'Data Prep'!$B$3,Data!A:A,'Data Prep'!$B$15,Data!C:C,'Data Prep'!O48)</f>
        <v>7215</v>
      </c>
      <c r="Q48" s="1">
        <v>1805832</v>
      </c>
      <c r="R48" s="14">
        <f t="shared" si="1"/>
        <v>3.9953882753212926</v>
      </c>
      <c r="S48" s="15">
        <f>AVERAGEIFS(Data!F:F,Data!B:B,'Data Prep'!$B$3,Data!A:A,'Data Prep'!$B$15,Data!C:C,'Data Prep'!O48)</f>
        <v>58063</v>
      </c>
      <c r="T48" s="16">
        <f t="shared" si="2"/>
        <v>-58063</v>
      </c>
    </row>
    <row r="49" spans="15:20" x14ac:dyDescent="0.25">
      <c r="O49" t="s">
        <v>47</v>
      </c>
      <c r="P49" s="1">
        <f>SUMIFS(Data!E:E,Data!B:B,'Data Prep'!$B$3,Data!A:A,'Data Prep'!$B$15,Data!C:C,'Data Prep'!O49)</f>
        <v>44846</v>
      </c>
      <c r="Q49" s="1">
        <v>5813568</v>
      </c>
      <c r="R49" s="14">
        <f t="shared" si="1"/>
        <v>7.7140234706121955</v>
      </c>
      <c r="S49" s="15">
        <f>AVERAGEIFS(Data!F:F,Data!B:B,'Data Prep'!$B$3,Data!A:A,'Data Prep'!$B$15,Data!C:C,'Data Prep'!O49)</f>
        <v>88336</v>
      </c>
      <c r="T49" s="16">
        <f t="shared" si="2"/>
        <v>-88336</v>
      </c>
    </row>
    <row r="50" spans="15:20" x14ac:dyDescent="0.25">
      <c r="O50" t="s">
        <v>48</v>
      </c>
      <c r="P50" s="1">
        <f>SUMIFS(Data!E:E,Data!B:B,'Data Prep'!$B$3,Data!A:A,'Data Prep'!$B$15,Data!C:C,'Data Prep'!O50)</f>
        <v>3000</v>
      </c>
      <c r="Q50" s="1">
        <v>577737</v>
      </c>
      <c r="R50" s="14">
        <f t="shared" si="1"/>
        <v>5.1926741752735248</v>
      </c>
      <c r="S50" s="15">
        <f>AVERAGEIFS(Data!F:F,Data!B:B,'Data Prep'!$B$3,Data!A:A,'Data Prep'!$B$15,Data!C:C,'Data Prep'!O50)</f>
        <v>54299</v>
      </c>
      <c r="T50" s="16">
        <f t="shared" si="2"/>
        <v>-54299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3BD9-21E6-4F9F-B05E-CEEE7B561DA1}">
  <dimension ref="A1:X53"/>
  <sheetViews>
    <sheetView showGridLines="0" showRowColHeaders="0" tabSelected="1" workbookViewId="0">
      <selection sqref="A1:A2"/>
    </sheetView>
  </sheetViews>
  <sheetFormatPr defaultColWidth="0" defaultRowHeight="15" zeroHeight="1" x14ac:dyDescent="0.25"/>
  <cols>
    <col min="1" max="1" width="9.140625" customWidth="1"/>
    <col min="2" max="2" width="47.28515625" bestFit="1" customWidth="1"/>
    <col min="3" max="3" width="9.140625" customWidth="1"/>
    <col min="4" max="4" width="25" bestFit="1" customWidth="1"/>
    <col min="5" max="17" width="9.140625" customWidth="1"/>
    <col min="18" max="20" width="35.85546875" bestFit="1" customWidth="1"/>
    <col min="21" max="22" width="9.140625" customWidth="1"/>
    <col min="23" max="23" width="5.7109375" customWidth="1"/>
    <col min="24" max="24" width="6.42578125" hidden="1" customWidth="1"/>
    <col min="25" max="16384" width="9.140625" hidden="1"/>
  </cols>
  <sheetData>
    <row r="1" spans="1:2" x14ac:dyDescent="0.25">
      <c r="A1" s="20">
        <v>10</v>
      </c>
    </row>
    <row r="2" spans="1:2" x14ac:dyDescent="0.25">
      <c r="A2" s="20">
        <v>1</v>
      </c>
    </row>
    <row r="3" spans="1:2" x14ac:dyDescent="0.25"/>
    <row r="4" spans="1:2" x14ac:dyDescent="0.25"/>
    <row r="5" spans="1:2" x14ac:dyDescent="0.25"/>
    <row r="6" spans="1:2" ht="31.5" x14ac:dyDescent="0.5">
      <c r="B6" s="18" t="str">
        <f>INDEX('Data Prep'!D3:D12,11-Dashboard!A1)</f>
        <v>Information</v>
      </c>
    </row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</sheetData>
  <sheetProtection sheet="1" objects="1" scenarios="1" selectLockedCells="1" selectUn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2" r:id="rId3" name="Spinner 10">
              <controlPr defaultSize="0" autoPict="0">
                <anchor moveWithCells="1" siz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3</xdr:col>
                    <xdr:colOff>28575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4" name="Option Button 11">
              <controlPr defaultSize="0" autoFill="0" autoLine="0" autoPict="0">
                <anchor moveWithCells="1">
                  <from>
                    <xdr:col>15</xdr:col>
                    <xdr:colOff>9525</xdr:colOff>
                    <xdr:row>9</xdr:row>
                    <xdr:rowOff>152400</xdr:rowOff>
                  </from>
                  <to>
                    <xdr:col>17</xdr:col>
                    <xdr:colOff>38100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5" name="Option Button 13">
              <controlPr defaultSize="0" autoFill="0" autoLine="0" autoPict="0">
                <anchor moveWithCells="1">
                  <from>
                    <xdr:col>18</xdr:col>
                    <xdr:colOff>1771650</xdr:colOff>
                    <xdr:row>9</xdr:row>
                    <xdr:rowOff>152400</xdr:rowOff>
                  </from>
                  <to>
                    <xdr:col>19</xdr:col>
                    <xdr:colOff>781050</xdr:colOff>
                    <xdr:row>11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Avraam Georgiadis</cp:lastModifiedBy>
  <dcterms:created xsi:type="dcterms:W3CDTF">2021-09-21T20:47:02Z</dcterms:created>
  <dcterms:modified xsi:type="dcterms:W3CDTF">2025-11-12T13:12:01Z</dcterms:modified>
</cp:coreProperties>
</file>